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3112" documentId="8_{C42A4063-8679-421F-B2A4-8DD3F65A1D1D}" xr6:coauthVersionLast="47" xr6:coauthVersionMax="47" xr10:uidLastSave="{31A46AE1-3D41-403D-A53F-355EAAF43A2A}"/>
  <bookViews>
    <workbookView xWindow="-28155" yWindow="-4065" windowWidth="28320" windowHeight="15585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4" i="1" l="1"/>
  <c r="W101" i="1" l="1"/>
  <c r="W99" i="1"/>
  <c r="R102" i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100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10" i="1" s="1"/>
  <c r="U111" i="1" s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U74" i="1"/>
  <c r="W74" i="1"/>
  <c r="AG74" i="1"/>
  <c r="AK74" i="1"/>
  <c r="M74" i="1"/>
  <c r="AA74" i="1"/>
  <c r="AC74" i="1"/>
  <c r="Q74" i="1"/>
  <c r="O74" i="1"/>
  <c r="S74" i="1"/>
  <c r="AU2" i="1"/>
  <c r="AU74" i="1"/>
  <c r="Y110" i="1" l="1"/>
  <c r="Y111" i="1" s="1"/>
  <c r="AU110" i="1"/>
  <c r="AU111" i="1" s="1"/>
  <c r="AG110" i="1"/>
  <c r="AG111" i="1" s="1"/>
  <c r="M110" i="1"/>
  <c r="M111" i="1" s="1"/>
  <c r="AE110" i="1"/>
  <c r="AE111" i="1" s="1"/>
  <c r="AW110" i="1"/>
  <c r="AW111" i="1" s="1"/>
  <c r="AC110" i="1"/>
  <c r="AC111" i="1" s="1"/>
  <c r="Q110" i="1"/>
  <c r="Q111" i="1" s="1"/>
  <c r="AQ110" i="1"/>
  <c r="AQ111" i="1" s="1"/>
  <c r="O110" i="1"/>
  <c r="O111" i="1" s="1"/>
  <c r="AI110" i="1"/>
  <c r="AI111" i="1" s="1"/>
  <c r="AK110" i="1"/>
  <c r="AK111" i="1" s="1"/>
  <c r="AO110" i="1"/>
  <c r="AO111" i="1" s="1"/>
  <c r="AM110" i="1"/>
  <c r="AM111" i="1" s="1"/>
  <c r="S110" i="1"/>
  <c r="S111" i="1" s="1"/>
  <c r="W110" i="1"/>
  <c r="W111" i="1" s="1"/>
  <c r="AA110" i="1"/>
  <c r="AA111" i="1" s="1"/>
</calcChain>
</file>

<file path=xl/sharedStrings.xml><?xml version="1.0" encoding="utf-8"?>
<sst xmlns="http://schemas.openxmlformats.org/spreadsheetml/2006/main" count="2787" uniqueCount="287">
  <si>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</si>
  <si>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</si>
  <si>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</si>
  <si>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</si>
  <si>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</si>
  <si>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</si>
  <si>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</si>
  <si>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</si>
  <si>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</si>
  <si>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</si>
  <si>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</si>
  <si>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</si>
  <si>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</si>
  <si>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</si>
  <si>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</si>
  <si>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</si>
  <si>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</si>
  <si>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</si>
  <si>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</si>
  <si>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</si>
  <si>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</si>
  <si>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</si>
  <si>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</si>
  <si>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</si>
  <si>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</si>
  <si>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</si>
  <si>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</si>
  <si>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</si>
  <si>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</si>
  <si>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</si>
  <si>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</si>
  <si>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</si>
  <si>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</si>
  <si>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</si>
  <si>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</si>
  <si>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</si>
  <si>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</si>
  <si>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</si>
  <si>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</si>
  <si>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</si>
  <si>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</si>
  <si>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</si>
  <si>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</si>
  <si>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</si>
  <si>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</si>
  <si>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</si>
  <si>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</si>
  <si>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</si>
  <si>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</si>
  <si>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</si>
  <si>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</si>
  <si>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</si>
  <si>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</si>
  <si>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</si>
  <si>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</si>
  <si>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</si>
  <si>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</si>
  <si>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</si>
  <si>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</si>
  <si>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</si>
  <si>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</si>
  <si>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</si>
  <si>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</si>
  <si>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</si>
  <si>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</si>
  <si>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</si>
  <si>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</si>
  <si>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</si>
  <si>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</si>
  <si>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</si>
  <si>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</si>
  <si>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</si>
  <si>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</si>
  <si>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</si>
  <si>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</si>
  <si>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</si>
  <si>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</si>
  <si>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</si>
  <si>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</si>
  <si>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</si>
  <si>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</si>
  <si>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</si>
  <si>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</si>
  <si>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</si>
  <si>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</si>
  <si>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</si>
  <si>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</si>
  <si>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</si>
  <si>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</si>
  <si>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</si>
  <si>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</si>
  <si>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</si>
  <si>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</si>
  <si>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</si>
  <si>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</si>
  <si>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</si>
  <si>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</si>
  <si>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</si>
  <si>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</si>
  <si>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</si>
  <si>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</si>
  <si>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</si>
  <si>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</si>
  <si>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</si>
  <si>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</si>
  <si>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</si>
  <si>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</si>
  <si>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</si>
  <si>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</si>
  <si>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</si>
  <si>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</si>
  <si>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</si>
  <si>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</si>
  <si>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</si>
  <si>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</si>
  <si>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</si>
  <si>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</si>
  <si>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</si>
  <si>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</si>
  <si>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</si>
  <si>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</si>
  <si>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</si>
  <si>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</si>
  <si>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</si>
  <si>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</si>
  <si>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</si>
  <si>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</si>
  <si>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</si>
  <si>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</si>
  <si>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</si>
  <si>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</si>
  <si>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</si>
  <si>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</si>
  <si>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</si>
  <si>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</si>
  <si>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</si>
  <si>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</si>
  <si>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</si>
  <si>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</si>
  <si>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</si>
  <si>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</si>
  <si>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</si>
  <si>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</si>
  <si>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</si>
  <si>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</si>
  <si>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</si>
  <si>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</si>
  <si>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</si>
  <si>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</si>
  <si>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</si>
  <si>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</si>
  <si>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</si>
  <si>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</si>
  <si>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</si>
  <si>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</si>
  <si>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</si>
  <si>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</si>
  <si>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</si>
  <si>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</si>
  <si>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</si>
  <si>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</si>
  <si>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</si>
  <si>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</si>
  <si>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</si>
  <si>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</si>
  <si>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</si>
  <si>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</si>
  <si>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</si>
  <si>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</si>
  <si>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</si>
  <si>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</si>
  <si>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</si>
  <si>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</si>
  <si>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</si>
  <si>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</si>
  <si>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</si>
  <si>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</si>
  <si>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</si>
  <si>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</si>
  <si>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</si>
  <si>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</si>
  <si>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</si>
  <si>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</si>
  <si>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</si>
  <si>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</si>
  <si>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</si>
  <si>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</si>
  <si>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</si>
  <si>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</si>
  <si>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</si>
  <si>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</si>
  <si>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</si>
  <si>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</si>
  <si>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</si>
  <si>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</si>
  <si>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</si>
  <si>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</si>
  <si>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</si>
  <si>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</si>
  <si>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</si>
  <si>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</si>
  <si>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</si>
  <si>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</si>
  <si>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</si>
  <si>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</si>
  <si>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</si>
  <si>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</si>
  <si>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</si>
  <si>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</si>
  <si>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</si>
  <si>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</si>
  <si>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</si>
  <si>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</si>
  <si>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</si>
  <si>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</si>
  <si>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</si>
  <si>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</si>
  <si>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</si>
  <si>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</si>
  <si>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</si>
  <si>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</si>
  <si>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</si>
  <si>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</si>
  <si>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</si>
  <si>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</si>
  <si>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Sunday, 5 July 2026</t>
  </si>
  <si>
    <t>Saturday, July 4, at 5:00 PM</t>
  </si>
  <si>
    <t>Sunday, July 5, at 4:00 PM</t>
  </si>
  <si>
    <t>Monday, 6 July 2026</t>
  </si>
  <si>
    <t>Sunday, July 5, at 8:00 PM</t>
  </si>
  <si>
    <t>Monday, July 6, at 3:00 PM</t>
  </si>
  <si>
    <t>Tuesday, 7 July 2026</t>
  </si>
  <si>
    <t>Tuesday, July 7, at 12:00 PM</t>
  </si>
  <si>
    <t>Wednesday, July 8, at 04:00 AM</t>
  </si>
  <si>
    <t>Wednesday, 8 July 2026</t>
  </si>
  <si>
    <t>Wednesday, July 8, at 08:00 AM</t>
  </si>
  <si>
    <t>Columbia</t>
  </si>
  <si>
    <t> </t>
  </si>
  <si>
    <t>Quarterfinals</t>
  </si>
  <si>
    <t>Friday, July 10, at 08:00 AM</t>
  </si>
  <si>
    <t>Friday, 10 July 2026</t>
  </si>
  <si>
    <t>Saturday, July 11, at 07:00 AM</t>
  </si>
  <si>
    <t>Saturday, 11 July 2026</t>
  </si>
  <si>
    <t>spain</t>
  </si>
  <si>
    <t>Saturday, July 11, at 5:00 PM</t>
  </si>
  <si>
    <t>Sunday, 12 July 2026</t>
  </si>
  <si>
    <t>norway</t>
  </si>
  <si>
    <t>Saturday, July 11, at 9:00 PM</t>
  </si>
  <si>
    <t>Semifinals</t>
  </si>
  <si>
    <t>Tuesday, July 14, at 3:00 PM</t>
  </si>
  <si>
    <t>Wednesday, 15 July 2026</t>
  </si>
  <si>
    <t>Wednesday, July 15, at 3:00 PM</t>
  </si>
  <si>
    <t>Thursday, 16 July 2026</t>
  </si>
  <si>
    <t>Third Place</t>
  </si>
  <si>
    <t>Saturday, July 18, at 5:00 PM</t>
  </si>
  <si>
    <t>Sunday, 19 July 2026</t>
  </si>
  <si>
    <t>L101</t>
  </si>
  <si>
    <t>L102</t>
  </si>
  <si>
    <t>Final</t>
  </si>
  <si>
    <t>Sunday, July 19, at 3:00 PM</t>
  </si>
  <si>
    <t>Monday, 20 July 2026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</si>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</sst>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AJ84" activePane="bottomRight" state="frozen"/>
      <selection pane="bottomRight" activeCell="G106" sqref="G106"/>
      <selection pane="bottomLeft" activeCell="D2" sqref="D2"/>
      <selection pane="topRight" activeCell="K1" sqref="K1"/>
    </sheetView>
  </sheetViews>
  <sheetFormatPr defaultColWidth="6.5703125" defaultRowHeight="14.4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hidden="1" customWidth="1"/>
    <col min="5" max="5" width="23.42578125" style="10" bestFit="1" customWidth="1"/>
    <col min="6" max="6" width="9" style="6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5.140625" style="6" customWidth="1"/>
    <col min="50" max="16384" width="6.5703125" style="6"/>
  </cols>
  <sheetData>
    <row r="1" spans="1:49" ht="39.6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.1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.1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.1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.1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.1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18" t="s">
        <v>200</v>
      </c>
      <c r="E75" s="36" t="s">
        <v>201</v>
      </c>
      <c r="F75" s="37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>
      <c r="C76" s="1" t="s">
        <v>199</v>
      </c>
      <c r="D76" s="18" t="s">
        <v>203</v>
      </c>
      <c r="E76" s="36" t="s">
        <v>204</v>
      </c>
      <c r="F76" s="37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>
      <c r="C77" s="1" t="s">
        <v>199</v>
      </c>
      <c r="D77" s="18" t="s">
        <v>205</v>
      </c>
      <c r="E77" s="36" t="s">
        <v>204</v>
      </c>
      <c r="F77" s="37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>
      <c r="C78" s="1" t="s">
        <v>199</v>
      </c>
      <c r="D78" s="18" t="s">
        <v>206</v>
      </c>
      <c r="E78" s="36" t="s">
        <v>204</v>
      </c>
      <c r="F78" s="37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>
      <c r="C79" s="1" t="s">
        <v>199</v>
      </c>
      <c r="D79" s="18" t="s">
        <v>207</v>
      </c>
      <c r="E79" s="36" t="s">
        <v>208</v>
      </c>
      <c r="F79" s="37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>
      <c r="C80" s="1" t="s">
        <v>199</v>
      </c>
      <c r="D80" s="18" t="s">
        <v>209</v>
      </c>
      <c r="E80" s="36" t="s">
        <v>208</v>
      </c>
      <c r="F80" s="37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>
      <c r="C81" s="1" t="s">
        <v>199</v>
      </c>
      <c r="D81" s="18" t="s">
        <v>210</v>
      </c>
      <c r="E81" s="36" t="s">
        <v>208</v>
      </c>
      <c r="F81" s="37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>
      <c r="C82" s="1" t="s">
        <v>199</v>
      </c>
      <c r="D82" s="18" t="s">
        <v>211</v>
      </c>
      <c r="E82" s="36" t="s">
        <v>212</v>
      </c>
      <c r="F82" s="37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>
      <c r="C83" s="1" t="s">
        <v>199</v>
      </c>
      <c r="D83" s="18" t="s">
        <v>213</v>
      </c>
      <c r="E83" s="36" t="s">
        <v>212</v>
      </c>
      <c r="F83" s="37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.1">
      <c r="C84" s="1" t="s">
        <v>199</v>
      </c>
      <c r="D84" s="18" t="s">
        <v>214</v>
      </c>
      <c r="E84" s="36" t="s">
        <v>212</v>
      </c>
      <c r="F84" s="37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3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>
      <c r="C85" s="1" t="s">
        <v>199</v>
      </c>
      <c r="D85" s="18" t="s">
        <v>215</v>
      </c>
      <c r="E85" s="36" t="s">
        <v>216</v>
      </c>
      <c r="F85" s="37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>
      <c r="C86" s="1" t="s">
        <v>199</v>
      </c>
      <c r="D86" s="18" t="s">
        <v>217</v>
      </c>
      <c r="E86" s="36" t="s">
        <v>216</v>
      </c>
      <c r="F86" s="37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>
      <c r="C87" s="1" t="s">
        <v>199</v>
      </c>
      <c r="D87" s="18" t="s">
        <v>218</v>
      </c>
      <c r="E87" s="36" t="s">
        <v>216</v>
      </c>
      <c r="F87" s="37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>
      <c r="C88" s="1" t="s">
        <v>199</v>
      </c>
      <c r="D88" s="18" t="s">
        <v>219</v>
      </c>
      <c r="E88" s="36" t="s">
        <v>220</v>
      </c>
      <c r="F88" s="37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29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>
      <c r="C89" s="1" t="s">
        <v>199</v>
      </c>
      <c r="D89" s="18" t="s">
        <v>221</v>
      </c>
      <c r="E89" s="36" t="s">
        <v>220</v>
      </c>
      <c r="F89" s="37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>
      <c r="C90" s="1" t="s">
        <v>199</v>
      </c>
      <c r="D90" s="18" t="s">
        <v>222</v>
      </c>
      <c r="E90" s="36" t="s">
        <v>220</v>
      </c>
      <c r="F90" s="37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30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29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>
      <c r="C91" s="1"/>
      <c r="D91" s="1"/>
      <c r="F91" s="27"/>
      <c r="G91" s="1"/>
      <c r="H91" s="1"/>
      <c r="I91" s="1"/>
      <c r="J91" s="1"/>
      <c r="K91" s="1"/>
      <c r="M91" s="1"/>
      <c r="O91" s="1"/>
      <c r="P91" s="1"/>
      <c r="Q91" s="1"/>
    </row>
    <row r="92" spans="3:49">
      <c r="C92" s="1" t="s">
        <v>223</v>
      </c>
      <c r="D92" s="18" t="s">
        <v>224</v>
      </c>
      <c r="E92" s="10" t="s">
        <v>225</v>
      </c>
      <c r="F92" s="37">
        <v>0.20833333333333334</v>
      </c>
      <c r="G92" s="38" t="s">
        <v>64</v>
      </c>
      <c r="H92" s="38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29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>
      <c r="C93" s="1" t="s">
        <v>223</v>
      </c>
      <c r="D93" s="18" t="s">
        <v>226</v>
      </c>
      <c r="E93" s="10" t="s">
        <v>225</v>
      </c>
      <c r="F93" s="37">
        <v>0.375</v>
      </c>
      <c r="G93" s="35" t="s">
        <v>72</v>
      </c>
      <c r="H93" s="35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>
      <c r="C94" s="1" t="s">
        <v>223</v>
      </c>
      <c r="D94" s="18" t="s">
        <v>227</v>
      </c>
      <c r="E94" s="10" t="s">
        <v>228</v>
      </c>
      <c r="F94" s="37">
        <v>0.33333333333333331</v>
      </c>
      <c r="G94" s="35" t="s">
        <v>79</v>
      </c>
      <c r="H94" s="35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>
      <c r="C95" s="1" t="s">
        <v>223</v>
      </c>
      <c r="D95" s="18" t="s">
        <v>229</v>
      </c>
      <c r="E95" s="10" t="s">
        <v>228</v>
      </c>
      <c r="F95" s="37">
        <v>0.5</v>
      </c>
      <c r="G95" s="35" t="s">
        <v>51</v>
      </c>
      <c r="H95" s="35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>
      <c r="C96" s="1" t="s">
        <v>223</v>
      </c>
      <c r="D96" s="18" t="s">
        <v>230</v>
      </c>
      <c r="E96" s="10" t="s">
        <v>231</v>
      </c>
      <c r="F96" s="37">
        <v>0.29166666666666669</v>
      </c>
      <c r="G96" s="35" t="s">
        <v>74</v>
      </c>
      <c r="H96" s="35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29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5" t="s">
        <v>74</v>
      </c>
      <c r="AA96" s="6" t="str">
        <f t="shared" si="44"/>
        <v>No Match</v>
      </c>
      <c r="AB96" s="30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30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>
      <c r="C97" s="1" t="s">
        <v>223</v>
      </c>
      <c r="D97" s="18" t="s">
        <v>232</v>
      </c>
      <c r="E97" s="10" t="s">
        <v>231</v>
      </c>
      <c r="F97" s="37">
        <v>0.5</v>
      </c>
      <c r="G97" s="35" t="s">
        <v>71</v>
      </c>
      <c r="H97" s="35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29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5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>
      <c r="C98" s="1" t="s">
        <v>223</v>
      </c>
      <c r="D98" s="18" t="s">
        <v>233</v>
      </c>
      <c r="E98" s="10" t="s">
        <v>234</v>
      </c>
      <c r="F98" s="37">
        <v>0.16666666666666666</v>
      </c>
      <c r="G98" s="35" t="s">
        <v>48</v>
      </c>
      <c r="H98" s="35" t="s">
        <v>123</v>
      </c>
      <c r="I98" s="1">
        <v>95</v>
      </c>
      <c r="J98" s="1" t="s">
        <v>119</v>
      </c>
      <c r="K98" s="29" t="s">
        <v>48</v>
      </c>
      <c r="L98" s="35" t="s">
        <v>48</v>
      </c>
      <c r="M98" s="1" t="str">
        <f t="shared" si="19"/>
        <v>Matched</v>
      </c>
      <c r="N98" s="33" t="s">
        <v>48</v>
      </c>
      <c r="O98" s="1" t="str">
        <f t="shared" si="38"/>
        <v>Matched</v>
      </c>
      <c r="P98" s="1" t="s">
        <v>48</v>
      </c>
      <c r="Q98" s="1" t="str">
        <f t="shared" si="39"/>
        <v>Matched</v>
      </c>
      <c r="R98" s="35" t="s">
        <v>48</v>
      </c>
      <c r="S98" s="6" t="str">
        <f t="shared" si="40"/>
        <v>Matched</v>
      </c>
      <c r="T98" s="31" t="s">
        <v>48</v>
      </c>
      <c r="U98" s="6" t="str">
        <f t="shared" si="41"/>
        <v>Matched</v>
      </c>
      <c r="W98" s="6" t="str">
        <f t="shared" si="42"/>
        <v>No Match</v>
      </c>
      <c r="X98" s="6" t="s">
        <v>48</v>
      </c>
      <c r="Y98" s="6" t="str">
        <f t="shared" si="43"/>
        <v>Matched</v>
      </c>
      <c r="Z98" s="35" t="s">
        <v>48</v>
      </c>
      <c r="AA98" s="6" t="str">
        <f t="shared" si="44"/>
        <v>Matched</v>
      </c>
      <c r="AB98" s="39" t="s">
        <v>48</v>
      </c>
      <c r="AC98" s="6" t="str">
        <f t="shared" si="45"/>
        <v>Matched</v>
      </c>
      <c r="AD98" s="32" t="s">
        <v>48</v>
      </c>
      <c r="AE98" s="6" t="str">
        <f t="shared" si="46"/>
        <v>Matched</v>
      </c>
      <c r="AF98" s="6" t="s">
        <v>48</v>
      </c>
      <c r="AG98" s="6" t="str">
        <f t="shared" si="47"/>
        <v>Matched</v>
      </c>
      <c r="AH98" s="6" t="s">
        <v>48</v>
      </c>
      <c r="AI98" s="6" t="str">
        <f t="shared" si="48"/>
        <v>Matched</v>
      </c>
      <c r="AJ98" s="6" t="s">
        <v>48</v>
      </c>
      <c r="AK98" s="6" t="str">
        <f t="shared" si="49"/>
        <v>Matched</v>
      </c>
      <c r="AL98" s="6" t="s">
        <v>48</v>
      </c>
      <c r="AM98" s="6" t="str">
        <f t="shared" si="50"/>
        <v>Matched</v>
      </c>
      <c r="AN98" s="6" t="s">
        <v>48</v>
      </c>
      <c r="AO98" s="6" t="str">
        <f t="shared" si="51"/>
        <v>Matched</v>
      </c>
      <c r="AP98" s="6" t="s">
        <v>48</v>
      </c>
      <c r="AQ98" s="6" t="str">
        <f t="shared" si="52"/>
        <v>Matched</v>
      </c>
      <c r="AR98" s="6" t="s">
        <v>48</v>
      </c>
      <c r="AS98" s="6" t="str">
        <f t="shared" si="53"/>
        <v>Matched</v>
      </c>
      <c r="AT98" s="6" t="s">
        <v>48</v>
      </c>
      <c r="AU98" s="6" t="str">
        <f t="shared" si="54"/>
        <v>Matched</v>
      </c>
      <c r="AV98" s="6" t="s">
        <v>48</v>
      </c>
      <c r="AW98" s="6" t="str">
        <f t="shared" si="56"/>
        <v>Matched</v>
      </c>
    </row>
    <row r="99" spans="3:49">
      <c r="C99" s="1" t="s">
        <v>223</v>
      </c>
      <c r="D99" s="18" t="s">
        <v>235</v>
      </c>
      <c r="E99" s="10" t="s">
        <v>234</v>
      </c>
      <c r="F99" s="37">
        <v>0.33333333333333331</v>
      </c>
      <c r="G99" s="35" t="s">
        <v>77</v>
      </c>
      <c r="H99" s="35" t="s">
        <v>111</v>
      </c>
      <c r="I99" s="1">
        <v>96</v>
      </c>
      <c r="J99" s="1" t="s">
        <v>94</v>
      </c>
      <c r="K99" s="35" t="s">
        <v>77</v>
      </c>
      <c r="L99" s="35" t="s">
        <v>111</v>
      </c>
      <c r="M99" s="1" t="str">
        <f t="shared" si="19"/>
        <v>No Match</v>
      </c>
      <c r="N99" s="33" t="s">
        <v>111</v>
      </c>
      <c r="O99" s="1" t="str">
        <f t="shared" si="38"/>
        <v>No Match</v>
      </c>
      <c r="P99" s="1" t="s">
        <v>111</v>
      </c>
      <c r="Q99" s="1" t="str">
        <f t="shared" si="39"/>
        <v>No Match</v>
      </c>
      <c r="R99" s="35" t="s">
        <v>111</v>
      </c>
      <c r="S99" s="6" t="str">
        <f t="shared" si="40"/>
        <v>No Match</v>
      </c>
      <c r="T99" s="31" t="s">
        <v>111</v>
      </c>
      <c r="U99" s="6" t="str">
        <f t="shared" si="41"/>
        <v>No Match</v>
      </c>
      <c r="V99" s="6" t="s">
        <v>111</v>
      </c>
      <c r="W99" s="6" t="str">
        <f>IF(ISBLANK(K99),"TBP",IF(V99=K99,"Matched","No Match"))</f>
        <v>No Match</v>
      </c>
      <c r="X99" s="6" t="s">
        <v>77</v>
      </c>
      <c r="Y99" s="6" t="str">
        <f t="shared" si="43"/>
        <v>Matched</v>
      </c>
      <c r="Z99" s="35" t="s">
        <v>77</v>
      </c>
      <c r="AA99" s="6" t="str">
        <f t="shared" si="44"/>
        <v>Matched</v>
      </c>
      <c r="AB99" s="35" t="s">
        <v>77</v>
      </c>
      <c r="AC99" s="6" t="str">
        <f t="shared" si="45"/>
        <v>Matched</v>
      </c>
      <c r="AD99" s="6" t="s">
        <v>111</v>
      </c>
      <c r="AE99" s="6" t="str">
        <f t="shared" si="46"/>
        <v>No Match</v>
      </c>
      <c r="AF99" s="31" t="s">
        <v>77</v>
      </c>
      <c r="AG99" s="6" t="str">
        <f t="shared" si="47"/>
        <v>Matched</v>
      </c>
      <c r="AH99" s="6" t="s">
        <v>236</v>
      </c>
      <c r="AI99" s="6" t="str">
        <f t="shared" si="48"/>
        <v>No Match</v>
      </c>
      <c r="AJ99" s="31" t="s">
        <v>77</v>
      </c>
      <c r="AK99" s="6" t="str">
        <f t="shared" si="49"/>
        <v>Matched</v>
      </c>
      <c r="AL99" s="6" t="s">
        <v>111</v>
      </c>
      <c r="AM99" s="6" t="str">
        <f t="shared" si="50"/>
        <v>No Match</v>
      </c>
      <c r="AN99" s="6" t="s">
        <v>111</v>
      </c>
      <c r="AO99" s="6" t="str">
        <f t="shared" si="51"/>
        <v>No Match</v>
      </c>
      <c r="AP99" s="6" t="s">
        <v>77</v>
      </c>
      <c r="AQ99" s="6" t="str">
        <f t="shared" si="52"/>
        <v>Matched</v>
      </c>
      <c r="AR99" s="6" t="s">
        <v>111</v>
      </c>
      <c r="AS99" s="6" t="str">
        <f t="shared" si="53"/>
        <v>No Match</v>
      </c>
      <c r="AT99" s="6" t="s">
        <v>77</v>
      </c>
      <c r="AU99" s="6" t="str">
        <f t="shared" si="54"/>
        <v>Matched</v>
      </c>
      <c r="AV99" s="6" t="s">
        <v>111</v>
      </c>
      <c r="AW99" s="6" t="str">
        <f t="shared" si="56"/>
        <v>No Match</v>
      </c>
    </row>
    <row r="100" spans="3:49">
      <c r="C100" s="1"/>
      <c r="D100" s="18"/>
      <c r="E100" s="26"/>
      <c r="F100" s="37">
        <v>0.33333333333333331</v>
      </c>
      <c r="G100" s="35" t="s">
        <v>237</v>
      </c>
      <c r="H100" s="35" t="s">
        <v>237</v>
      </c>
      <c r="I100" s="1"/>
      <c r="J100" s="1"/>
      <c r="K100" s="1"/>
      <c r="M100" s="1" t="str">
        <f t="shared" si="19"/>
        <v>TBP</v>
      </c>
      <c r="N100" s="34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>
      <c r="C101" s="1" t="s">
        <v>238</v>
      </c>
      <c r="D101" s="18" t="s">
        <v>239</v>
      </c>
      <c r="E101" s="10" t="s">
        <v>240</v>
      </c>
      <c r="F101" s="37">
        <v>0.33333333333333331</v>
      </c>
      <c r="G101" s="35" t="s">
        <v>60</v>
      </c>
      <c r="H101" s="35" t="s">
        <v>83</v>
      </c>
      <c r="I101" s="1">
        <v>97</v>
      </c>
      <c r="J101" s="1" t="s">
        <v>88</v>
      </c>
      <c r="K101" s="1" t="s">
        <v>60</v>
      </c>
      <c r="L101" s="6" t="s">
        <v>83</v>
      </c>
      <c r="M101" s="1" t="str">
        <f t="shared" si="19"/>
        <v>No Match</v>
      </c>
      <c r="N101" s="33" t="s">
        <v>60</v>
      </c>
      <c r="O101" s="1" t="str">
        <f t="shared" si="38"/>
        <v>Matched</v>
      </c>
      <c r="P101" s="1" t="s">
        <v>83</v>
      </c>
      <c r="Q101" s="1" t="str">
        <f t="shared" si="39"/>
        <v>No Match</v>
      </c>
      <c r="R101" s="35" t="s">
        <v>60</v>
      </c>
      <c r="S101" s="6" t="str">
        <f t="shared" si="40"/>
        <v>Matched</v>
      </c>
      <c r="T101" s="31" t="s">
        <v>83</v>
      </c>
      <c r="U101" s="6" t="str">
        <f t="shared" si="41"/>
        <v>No Match</v>
      </c>
      <c r="V101" s="6" t="s">
        <v>60</v>
      </c>
      <c r="W101" s="6" t="str">
        <f>IF(ISBLANK(K101),"TBP",IF(V101=K101,"Matched","No Match"))</f>
        <v>Matched</v>
      </c>
      <c r="X101" s="6" t="s">
        <v>60</v>
      </c>
      <c r="Y101" s="6" t="str">
        <f t="shared" si="43"/>
        <v>Matched</v>
      </c>
      <c r="Z101" s="35" t="s">
        <v>60</v>
      </c>
      <c r="AA101" s="6" t="str">
        <f t="shared" si="44"/>
        <v>Matched</v>
      </c>
      <c r="AB101" s="6" t="s">
        <v>60</v>
      </c>
      <c r="AC101" s="6" t="str">
        <f t="shared" si="45"/>
        <v>Matched</v>
      </c>
      <c r="AD101" s="6" t="s">
        <v>60</v>
      </c>
      <c r="AE101" s="6" t="str">
        <f t="shared" si="46"/>
        <v>Matched</v>
      </c>
      <c r="AF101" s="31" t="s">
        <v>60</v>
      </c>
      <c r="AG101" s="6" t="str">
        <f t="shared" si="47"/>
        <v>Matched</v>
      </c>
      <c r="AH101" s="6" t="s">
        <v>60</v>
      </c>
      <c r="AI101" s="6" t="str">
        <f t="shared" si="48"/>
        <v>Matched</v>
      </c>
      <c r="AJ101" s="6" t="s">
        <v>60</v>
      </c>
      <c r="AK101" s="6" t="str">
        <f t="shared" si="49"/>
        <v>Matched</v>
      </c>
      <c r="AL101" s="6" t="s">
        <v>60</v>
      </c>
      <c r="AM101" s="6" t="str">
        <f t="shared" si="50"/>
        <v>Matched</v>
      </c>
      <c r="AN101" s="6" t="s">
        <v>60</v>
      </c>
      <c r="AO101" s="6" t="str">
        <f t="shared" si="51"/>
        <v>Matched</v>
      </c>
      <c r="AP101" s="6" t="s">
        <v>83</v>
      </c>
      <c r="AQ101" s="6" t="str">
        <f t="shared" si="52"/>
        <v>No Match</v>
      </c>
      <c r="AR101" s="6" t="s">
        <v>60</v>
      </c>
      <c r="AS101" s="6" t="str">
        <f t="shared" si="53"/>
        <v>Matched</v>
      </c>
      <c r="AT101" s="6" t="s">
        <v>60</v>
      </c>
      <c r="AU101" s="6" t="str">
        <f t="shared" si="54"/>
        <v>Matched</v>
      </c>
      <c r="AV101" s="6" t="s">
        <v>60</v>
      </c>
      <c r="AW101" s="6" t="str">
        <f t="shared" si="56"/>
        <v>Matched</v>
      </c>
    </row>
    <row r="102" spans="3:49">
      <c r="C102" s="1" t="s">
        <v>238</v>
      </c>
      <c r="D102" s="18" t="s">
        <v>241</v>
      </c>
      <c r="E102" s="10" t="s">
        <v>242</v>
      </c>
      <c r="F102" s="37">
        <v>0.29166666666666669</v>
      </c>
      <c r="G102" s="35" t="s">
        <v>54</v>
      </c>
      <c r="H102" s="35" t="s">
        <v>96</v>
      </c>
      <c r="I102" s="1">
        <v>98</v>
      </c>
      <c r="J102" s="1" t="s">
        <v>171</v>
      </c>
      <c r="K102" s="1" t="s">
        <v>54</v>
      </c>
      <c r="L102" s="6" t="s">
        <v>54</v>
      </c>
      <c r="M102" s="1" t="str">
        <f t="shared" si="19"/>
        <v>Matched</v>
      </c>
      <c r="N102" s="6" t="s">
        <v>96</v>
      </c>
      <c r="O102" s="1" t="str">
        <f t="shared" si="38"/>
        <v>No Match</v>
      </c>
      <c r="P102" s="1" t="s">
        <v>54</v>
      </c>
      <c r="Q102" s="1" t="str">
        <f t="shared" si="39"/>
        <v>Matched</v>
      </c>
      <c r="R102" s="30" t="str">
        <f>V96</f>
        <v>Spain</v>
      </c>
      <c r="S102" s="6" t="str">
        <f t="shared" si="40"/>
        <v>Matched</v>
      </c>
      <c r="T102" s="6" t="s">
        <v>96</v>
      </c>
      <c r="U102" s="6" t="str">
        <f t="shared" si="41"/>
        <v>No Match</v>
      </c>
      <c r="V102" s="6" t="s">
        <v>54</v>
      </c>
      <c r="W102" s="6" t="str">
        <f t="shared" si="42"/>
        <v>Matched</v>
      </c>
      <c r="X102" s="6" t="s">
        <v>54</v>
      </c>
      <c r="Y102" s="6" t="str">
        <f t="shared" si="43"/>
        <v>Matched</v>
      </c>
      <c r="Z102" s="35" t="s">
        <v>54</v>
      </c>
      <c r="AA102" s="6" t="str">
        <f t="shared" si="44"/>
        <v>Matched</v>
      </c>
      <c r="AB102" s="29" t="s">
        <v>96</v>
      </c>
      <c r="AC102" s="6" t="str">
        <f t="shared" si="45"/>
        <v>No Match</v>
      </c>
      <c r="AD102" s="6" t="s">
        <v>54</v>
      </c>
      <c r="AE102" s="6" t="str">
        <f t="shared" si="46"/>
        <v>Matched</v>
      </c>
      <c r="AF102" s="6" t="s">
        <v>54</v>
      </c>
      <c r="AG102" s="6" t="str">
        <f t="shared" si="47"/>
        <v>Matched</v>
      </c>
      <c r="AH102" s="6" t="s">
        <v>96</v>
      </c>
      <c r="AI102" s="6" t="str">
        <f t="shared" si="48"/>
        <v>No Match</v>
      </c>
      <c r="AJ102" s="6" t="s">
        <v>54</v>
      </c>
      <c r="AK102" s="6" t="str">
        <f t="shared" si="49"/>
        <v>Matched</v>
      </c>
      <c r="AL102" s="6" t="s">
        <v>54</v>
      </c>
      <c r="AM102" s="6" t="str">
        <f t="shared" si="50"/>
        <v>Matched</v>
      </c>
      <c r="AN102" s="6" t="s">
        <v>54</v>
      </c>
      <c r="AO102" s="6" t="str">
        <f t="shared" si="51"/>
        <v>Matched</v>
      </c>
      <c r="AP102" s="6" t="s">
        <v>243</v>
      </c>
      <c r="AQ102" s="6" t="str">
        <f t="shared" si="52"/>
        <v>Matched</v>
      </c>
      <c r="AR102" s="6" t="s">
        <v>54</v>
      </c>
      <c r="AS102" s="6" t="str">
        <f t="shared" si="53"/>
        <v>Matched</v>
      </c>
      <c r="AT102" s="6" t="s">
        <v>54</v>
      </c>
      <c r="AU102" s="6" t="str">
        <f t="shared" si="54"/>
        <v>Matched</v>
      </c>
      <c r="AV102" s="6" t="s">
        <v>54</v>
      </c>
      <c r="AW102" s="6" t="str">
        <f t="shared" si="56"/>
        <v>Matched</v>
      </c>
    </row>
    <row r="103" spans="3:49" ht="15.75" customHeight="1">
      <c r="C103" s="1" t="s">
        <v>238</v>
      </c>
      <c r="D103" s="18" t="s">
        <v>244</v>
      </c>
      <c r="E103" s="10" t="s">
        <v>245</v>
      </c>
      <c r="F103" s="37">
        <v>0.375</v>
      </c>
      <c r="G103" s="35" t="s">
        <v>136</v>
      </c>
      <c r="H103" s="35" t="s">
        <v>67</v>
      </c>
      <c r="I103" s="1">
        <v>99</v>
      </c>
      <c r="J103" s="1" t="s">
        <v>128</v>
      </c>
      <c r="K103" s="1" t="s">
        <v>67</v>
      </c>
      <c r="L103" s="6" t="s">
        <v>67</v>
      </c>
      <c r="M103" s="1" t="str">
        <f t="shared" si="19"/>
        <v>Matched</v>
      </c>
      <c r="N103" s="6" t="s">
        <v>67</v>
      </c>
      <c r="O103" s="1" t="str">
        <f t="shared" si="38"/>
        <v>Matched</v>
      </c>
      <c r="P103" s="1" t="s">
        <v>67</v>
      </c>
      <c r="Q103" s="1" t="str">
        <f t="shared" si="39"/>
        <v>Matched</v>
      </c>
      <c r="R103" s="29" t="s">
        <v>67</v>
      </c>
      <c r="S103" s="6" t="str">
        <f t="shared" si="40"/>
        <v>Matched</v>
      </c>
      <c r="T103" s="6" t="s">
        <v>136</v>
      </c>
      <c r="U103" s="6" t="str">
        <f t="shared" si="41"/>
        <v>No Match</v>
      </c>
      <c r="V103" s="6" t="s">
        <v>67</v>
      </c>
      <c r="W103" s="6" t="str">
        <f t="shared" si="42"/>
        <v>Matched</v>
      </c>
      <c r="X103" s="6" t="s">
        <v>67</v>
      </c>
      <c r="Y103" s="6" t="str">
        <f t="shared" si="43"/>
        <v>Matched</v>
      </c>
      <c r="Z103" s="35" t="s">
        <v>136</v>
      </c>
      <c r="AA103" s="6" t="str">
        <f t="shared" si="44"/>
        <v>No Match</v>
      </c>
      <c r="AB103" s="29" t="s">
        <v>67</v>
      </c>
      <c r="AC103" s="6" t="str">
        <f t="shared" si="45"/>
        <v>Matched</v>
      </c>
      <c r="AD103" s="6" t="s">
        <v>67</v>
      </c>
      <c r="AE103" s="6" t="str">
        <f t="shared" si="46"/>
        <v>Matched</v>
      </c>
      <c r="AF103" s="6" t="s">
        <v>67</v>
      </c>
      <c r="AG103" s="6" t="str">
        <f t="shared" si="47"/>
        <v>Matched</v>
      </c>
      <c r="AH103" s="6" t="s">
        <v>67</v>
      </c>
      <c r="AI103" s="6" t="str">
        <f t="shared" si="48"/>
        <v>Matched</v>
      </c>
      <c r="AJ103" s="6" t="s">
        <v>136</v>
      </c>
      <c r="AK103" s="6" t="str">
        <f t="shared" si="49"/>
        <v>No Match</v>
      </c>
      <c r="AL103" s="6" t="s">
        <v>67</v>
      </c>
      <c r="AM103" s="6" t="str">
        <f t="shared" si="50"/>
        <v>Matched</v>
      </c>
      <c r="AN103" s="6" t="s">
        <v>67</v>
      </c>
      <c r="AO103" s="6" t="str">
        <f t="shared" si="51"/>
        <v>Matched</v>
      </c>
      <c r="AP103" s="6" t="s">
        <v>246</v>
      </c>
      <c r="AQ103" s="6" t="str">
        <f t="shared" si="52"/>
        <v>No Match</v>
      </c>
      <c r="AR103" s="6" t="s">
        <v>67</v>
      </c>
      <c r="AS103" s="6" t="str">
        <f t="shared" si="53"/>
        <v>Matched</v>
      </c>
      <c r="AT103" s="35" t="s">
        <v>136</v>
      </c>
      <c r="AU103" s="6" t="str">
        <f t="shared" si="54"/>
        <v>No Match</v>
      </c>
      <c r="AV103" s="6" t="s">
        <v>136</v>
      </c>
      <c r="AW103" s="6" t="str">
        <f t="shared" si="56"/>
        <v>No Match</v>
      </c>
    </row>
    <row r="104" spans="3:49" ht="15">
      <c r="C104" s="1" t="s">
        <v>238</v>
      </c>
      <c r="D104" s="18" t="s">
        <v>247</v>
      </c>
      <c r="E104" s="10" t="s">
        <v>245</v>
      </c>
      <c r="F104" s="37">
        <v>0.54166666666666663</v>
      </c>
      <c r="G104" s="35" t="s">
        <v>48</v>
      </c>
      <c r="H104" s="1" t="s">
        <v>77</v>
      </c>
      <c r="I104" s="1">
        <v>100</v>
      </c>
      <c r="J104" s="1" t="s">
        <v>140</v>
      </c>
      <c r="K104" s="1" t="s">
        <v>48</v>
      </c>
      <c r="L104" s="6" t="s">
        <v>48</v>
      </c>
      <c r="M104" s="1" t="str">
        <f t="shared" si="19"/>
        <v>Matched</v>
      </c>
      <c r="N104" s="30" t="str">
        <f>R98</f>
        <v>Argentina</v>
      </c>
      <c r="O104" s="1" t="str">
        <f t="shared" si="38"/>
        <v>Matched</v>
      </c>
      <c r="P104" s="1" t="s">
        <v>48</v>
      </c>
      <c r="Q104" s="1" t="str">
        <f t="shared" si="39"/>
        <v>Matched</v>
      </c>
      <c r="S104" s="6" t="str">
        <f t="shared" si="40"/>
        <v>No Match</v>
      </c>
      <c r="U104" s="6" t="str">
        <f t="shared" si="41"/>
        <v>No Match</v>
      </c>
      <c r="V104" s="6" t="s">
        <v>48</v>
      </c>
      <c r="W104" s="6" t="str">
        <f t="shared" si="42"/>
        <v>Matched</v>
      </c>
      <c r="X104" s="6" t="s">
        <v>48</v>
      </c>
      <c r="Y104" s="6" t="str">
        <f t="shared" si="43"/>
        <v>Matched</v>
      </c>
      <c r="Z104" s="6" t="s">
        <v>48</v>
      </c>
      <c r="AA104" s="6" t="str">
        <f t="shared" si="44"/>
        <v>Matched</v>
      </c>
      <c r="AB104" s="35"/>
      <c r="AC104" s="6" t="str">
        <f t="shared" si="45"/>
        <v>No Match</v>
      </c>
      <c r="AD104" s="6" t="s">
        <v>48</v>
      </c>
      <c r="AE104" s="6" t="str">
        <f t="shared" si="46"/>
        <v>Matched</v>
      </c>
      <c r="AG104" s="6" t="str">
        <f t="shared" si="47"/>
        <v>No Match</v>
      </c>
      <c r="AI104" s="6" t="str">
        <f t="shared" si="48"/>
        <v>No Match</v>
      </c>
      <c r="AJ104" s="6" t="s">
        <v>77</v>
      </c>
      <c r="AK104" s="6" t="str">
        <f t="shared" si="49"/>
        <v>No Match</v>
      </c>
      <c r="AL104" s="6" t="s">
        <v>48</v>
      </c>
      <c r="AM104" s="6" t="str">
        <f t="shared" si="50"/>
        <v>Matched</v>
      </c>
      <c r="AN104" s="6" t="s">
        <v>48</v>
      </c>
      <c r="AO104" s="6" t="str">
        <f t="shared" si="51"/>
        <v>Matched</v>
      </c>
      <c r="AP104" s="6" t="s">
        <v>48</v>
      </c>
      <c r="AQ104" s="6" t="str">
        <f t="shared" si="52"/>
        <v>Matched</v>
      </c>
      <c r="AR104" s="6" t="s">
        <v>48</v>
      </c>
      <c r="AS104" s="6" t="str">
        <f t="shared" si="53"/>
        <v>Matched</v>
      </c>
      <c r="AT104" s="6" t="s">
        <v>48</v>
      </c>
      <c r="AU104" s="6" t="str">
        <f t="shared" si="54"/>
        <v>Matched</v>
      </c>
      <c r="AV104" s="6" t="s">
        <v>48</v>
      </c>
      <c r="AW104" s="6" t="str">
        <f t="shared" si="56"/>
        <v>Matched</v>
      </c>
    </row>
    <row r="105" spans="3:49" ht="15">
      <c r="C105" s="1" t="s">
        <v>248</v>
      </c>
      <c r="D105" s="18" t="s">
        <v>249</v>
      </c>
      <c r="E105" s="10" t="s">
        <v>250</v>
      </c>
      <c r="F105" s="37">
        <v>0.29166666666666669</v>
      </c>
      <c r="G105" s="35" t="s">
        <v>60</v>
      </c>
      <c r="H105" s="35" t="s">
        <v>54</v>
      </c>
      <c r="I105" s="1">
        <v>101</v>
      </c>
      <c r="J105" s="1" t="s">
        <v>105</v>
      </c>
      <c r="K105" s="1"/>
      <c r="L105" s="6" t="s">
        <v>60</v>
      </c>
      <c r="M105" s="1" t="str">
        <f t="shared" si="19"/>
        <v>TBP</v>
      </c>
      <c r="N105" s="6" t="s">
        <v>60</v>
      </c>
      <c r="O105" s="1" t="str">
        <f t="shared" si="38"/>
        <v>TBP</v>
      </c>
      <c r="P105" s="1" t="s">
        <v>60</v>
      </c>
      <c r="Q105" s="1" t="str">
        <f t="shared" si="39"/>
        <v>TBP</v>
      </c>
      <c r="R105" s="6" t="s">
        <v>60</v>
      </c>
      <c r="S105" s="6" t="str">
        <f t="shared" si="40"/>
        <v>TBP</v>
      </c>
      <c r="T105" s="6" t="s">
        <v>60</v>
      </c>
      <c r="U105" s="6" t="str">
        <f t="shared" si="41"/>
        <v>TBP</v>
      </c>
      <c r="V105" s="6" t="s">
        <v>54</v>
      </c>
      <c r="W105" s="6" t="str">
        <f t="shared" si="42"/>
        <v>TBP</v>
      </c>
      <c r="X105" s="6" t="s">
        <v>54</v>
      </c>
      <c r="Y105" s="6" t="str">
        <f t="shared" si="43"/>
        <v>TBP</v>
      </c>
      <c r="Z105" s="8" t="s">
        <v>60</v>
      </c>
      <c r="AA105" s="6" t="str">
        <f t="shared" si="44"/>
        <v>TBP</v>
      </c>
      <c r="AB105" s="6" t="s">
        <v>60</v>
      </c>
      <c r="AC105" s="6" t="str">
        <f t="shared" si="45"/>
        <v>TBP</v>
      </c>
      <c r="AD105" s="6" t="s">
        <v>54</v>
      </c>
      <c r="AE105" s="6" t="str">
        <f t="shared" si="46"/>
        <v>TBP</v>
      </c>
      <c r="AF105" s="6" t="s">
        <v>60</v>
      </c>
      <c r="AG105" s="6" t="str">
        <f t="shared" si="47"/>
        <v>TBP</v>
      </c>
      <c r="AH105" s="6" t="s">
        <v>60</v>
      </c>
      <c r="AI105" s="6" t="str">
        <f t="shared" si="48"/>
        <v>TBP</v>
      </c>
      <c r="AJ105" s="6" t="s">
        <v>60</v>
      </c>
      <c r="AK105" s="6" t="str">
        <f t="shared" si="49"/>
        <v>TBP</v>
      </c>
      <c r="AL105" s="6" t="s">
        <v>60</v>
      </c>
      <c r="AM105" s="6" t="str">
        <f t="shared" si="50"/>
        <v>TBP</v>
      </c>
      <c r="AN105" s="6" t="s">
        <v>60</v>
      </c>
      <c r="AO105" s="6" t="str">
        <f t="shared" si="51"/>
        <v>TBP</v>
      </c>
      <c r="AP105" s="6" t="s">
        <v>54</v>
      </c>
      <c r="AQ105" s="6" t="str">
        <f t="shared" si="52"/>
        <v>TBP</v>
      </c>
      <c r="AR105" s="6" t="s">
        <v>60</v>
      </c>
      <c r="AS105" s="6" t="str">
        <f t="shared" si="53"/>
        <v>TBP</v>
      </c>
      <c r="AT105" s="6" t="s">
        <v>54</v>
      </c>
      <c r="AU105" s="6" t="str">
        <f t="shared" si="54"/>
        <v>TBP</v>
      </c>
      <c r="AV105" s="6" t="s">
        <v>60</v>
      </c>
      <c r="AW105" s="6" t="str">
        <f t="shared" si="56"/>
        <v>TBP</v>
      </c>
    </row>
    <row r="106" spans="3:49" ht="15">
      <c r="C106" s="1" t="s">
        <v>248</v>
      </c>
      <c r="D106" s="18" t="s">
        <v>251</v>
      </c>
      <c r="E106" s="10" t="s">
        <v>252</v>
      </c>
      <c r="F106" s="37">
        <v>0.29166666666666669</v>
      </c>
      <c r="G106" s="35" t="s">
        <v>67</v>
      </c>
      <c r="H106" s="35" t="s">
        <v>48</v>
      </c>
      <c r="I106" s="1">
        <v>102</v>
      </c>
      <c r="J106" s="1" t="s">
        <v>119</v>
      </c>
      <c r="K106" s="1"/>
      <c r="L106" s="6" t="s">
        <v>48</v>
      </c>
      <c r="M106" s="1" t="str">
        <f t="shared" si="19"/>
        <v>TBP</v>
      </c>
      <c r="N106" s="6" t="s">
        <v>67</v>
      </c>
      <c r="O106" s="1" t="str">
        <f t="shared" si="38"/>
        <v>TBP</v>
      </c>
      <c r="P106" s="1" t="s">
        <v>48</v>
      </c>
      <c r="Q106" s="1" t="str">
        <f t="shared" si="39"/>
        <v>TBP</v>
      </c>
      <c r="R106" s="6" t="s">
        <v>67</v>
      </c>
      <c r="S106" s="6" t="str">
        <f t="shared" si="40"/>
        <v>TBP</v>
      </c>
      <c r="T106" s="6" t="s">
        <v>48</v>
      </c>
      <c r="U106" s="6" t="str">
        <f t="shared" si="41"/>
        <v>TBP</v>
      </c>
      <c r="V106" s="6" t="s">
        <v>67</v>
      </c>
      <c r="W106" s="6" t="str">
        <f t="shared" si="42"/>
        <v>TBP</v>
      </c>
      <c r="X106" s="6" t="s">
        <v>67</v>
      </c>
      <c r="Y106" s="6" t="str">
        <f t="shared" si="43"/>
        <v>TBP</v>
      </c>
      <c r="Z106" s="1" t="s">
        <v>48</v>
      </c>
      <c r="AA106" s="6" t="str">
        <f t="shared" si="44"/>
        <v>TBP</v>
      </c>
      <c r="AB106" s="6" t="s">
        <v>48</v>
      </c>
      <c r="AC106" s="6" t="str">
        <f t="shared" si="45"/>
        <v>TBP</v>
      </c>
      <c r="AD106" s="6" t="s">
        <v>48</v>
      </c>
      <c r="AE106" s="6" t="str">
        <f t="shared" si="46"/>
        <v>TBP</v>
      </c>
      <c r="AF106" s="6" t="s">
        <v>67</v>
      </c>
      <c r="AG106" s="6" t="str">
        <f t="shared" si="47"/>
        <v>TBP</v>
      </c>
      <c r="AH106" s="6" t="s">
        <v>48</v>
      </c>
      <c r="AI106" s="6" t="str">
        <f t="shared" si="48"/>
        <v>TBP</v>
      </c>
      <c r="AJ106" s="6" t="s">
        <v>67</v>
      </c>
      <c r="AK106" s="6" t="str">
        <f t="shared" si="49"/>
        <v>TBP</v>
      </c>
      <c r="AL106" s="6" t="s">
        <v>67</v>
      </c>
      <c r="AM106" s="6" t="str">
        <f t="shared" si="50"/>
        <v>TBP</v>
      </c>
      <c r="AN106" s="6" t="s">
        <v>48</v>
      </c>
      <c r="AO106" s="6" t="str">
        <f t="shared" si="51"/>
        <v>TBP</v>
      </c>
      <c r="AP106" s="6" t="s">
        <v>48</v>
      </c>
      <c r="AQ106" s="6" t="str">
        <f t="shared" si="52"/>
        <v>TBP</v>
      </c>
      <c r="AR106" s="6" t="s">
        <v>48</v>
      </c>
      <c r="AS106" s="6" t="str">
        <f t="shared" si="53"/>
        <v>TBP</v>
      </c>
      <c r="AT106" s="6" t="s">
        <v>48</v>
      </c>
      <c r="AU106" s="6" t="str">
        <f t="shared" si="54"/>
        <v>TBP</v>
      </c>
      <c r="AV106" s="6" t="s">
        <v>48</v>
      </c>
      <c r="AW106" s="6" t="str">
        <f t="shared" si="56"/>
        <v>TBP</v>
      </c>
    </row>
    <row r="107" spans="3:49">
      <c r="C107" s="1" t="s">
        <v>253</v>
      </c>
      <c r="D107" s="18" t="s">
        <v>254</v>
      </c>
      <c r="E107" s="10" t="s">
        <v>255</v>
      </c>
      <c r="F107" s="37">
        <v>0.29166666666666669</v>
      </c>
      <c r="G107" s="8" t="s">
        <v>256</v>
      </c>
      <c r="H107" s="1" t="s">
        <v>257</v>
      </c>
      <c r="I107" s="1">
        <v>103</v>
      </c>
      <c r="J107" s="1" t="s">
        <v>128</v>
      </c>
      <c r="K107" s="1"/>
      <c r="M107" s="1" t="str">
        <f t="shared" si="19"/>
        <v>TBP</v>
      </c>
      <c r="N107" s="6" t="s">
        <v>257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T107" s="6" t="s">
        <v>54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>
      <c r="C108" s="1" t="s">
        <v>258</v>
      </c>
      <c r="D108" s="18" t="s">
        <v>259</v>
      </c>
      <c r="E108" s="10" t="s">
        <v>260</v>
      </c>
      <c r="F108" s="25"/>
      <c r="G108" s="8" t="s">
        <v>261</v>
      </c>
      <c r="H108" s="1" t="s">
        <v>262</v>
      </c>
      <c r="I108" s="1">
        <v>104</v>
      </c>
      <c r="J108" s="1" t="s">
        <v>84</v>
      </c>
      <c r="K108" s="1"/>
      <c r="M108" s="1" t="str">
        <f t="shared" si="19"/>
        <v>TBP</v>
      </c>
      <c r="N108" s="6" t="s">
        <v>262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T108" s="6" t="s">
        <v>60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>
      <c r="E109" s="24"/>
      <c r="F109" s="28"/>
    </row>
    <row r="110" spans="3:49">
      <c r="M110" s="6">
        <f>COUNTIF(M75:M108, "Matched")</f>
        <v>14</v>
      </c>
      <c r="O110" s="6">
        <f>COUNTIF(O75:O108, "Matched")</f>
        <v>20</v>
      </c>
      <c r="Q110" s="6">
        <f>COUNTIF(Q75:Q108, "Matched")</f>
        <v>21</v>
      </c>
      <c r="S110" s="6">
        <f>COUNTIF(S75:S108, "Matched")</f>
        <v>18</v>
      </c>
      <c r="U110" s="6">
        <f>COUNTIF(U75:U108, "Matched")</f>
        <v>12</v>
      </c>
      <c r="W110" s="6">
        <f>COUNTIF(W75:W108, "Matched")</f>
        <v>19</v>
      </c>
      <c r="Y110" s="6">
        <f>COUNTIF(Y75:Y108, "Matched")</f>
        <v>19</v>
      </c>
      <c r="AA110" s="6">
        <f>COUNTIF(AA75:AA108, "Matched")</f>
        <v>20</v>
      </c>
      <c r="AC110" s="6">
        <f>COUNTIF(AC75:AC108, "Matched")</f>
        <v>20</v>
      </c>
      <c r="AE110" s="6">
        <f>COUNTIF(AE75:AE108, "Matched")</f>
        <v>23</v>
      </c>
      <c r="AG110" s="6">
        <f>COUNTIF(AG75:AG108, "Matched")</f>
        <v>17</v>
      </c>
      <c r="AI110" s="6">
        <f>COUNTIF(AI75:AI108, "Matched")</f>
        <v>20</v>
      </c>
      <c r="AK110" s="6">
        <f>COUNTIF(AK75:AK108, "Matched")</f>
        <v>22</v>
      </c>
      <c r="AM110" s="6">
        <f>COUNTIF(AM75:AM108, "Matched")</f>
        <v>22</v>
      </c>
      <c r="AO110" s="6">
        <f>COUNTIF(AO75:AO108, "Matched")</f>
        <v>23</v>
      </c>
      <c r="AQ110" s="6">
        <f>COUNTIF(AQ75:AQ108, "Matched")</f>
        <v>16</v>
      </c>
      <c r="AS110" s="6">
        <f>COUNTIF(AS75:AS108, "Matched")</f>
        <v>21</v>
      </c>
      <c r="AU110" s="6">
        <f>COUNTIF(AU75:AU108, "Matched")</f>
        <v>20</v>
      </c>
      <c r="AW110" s="6">
        <f>COUNTIF(AW75:AW108, "Matched")</f>
        <v>20</v>
      </c>
    </row>
    <row r="111" spans="3:49">
      <c r="C111" s="22" t="s">
        <v>263</v>
      </c>
      <c r="M111" s="22">
        <f>M74+M110</f>
        <v>51</v>
      </c>
      <c r="O111" s="22">
        <f>O74+O110</f>
        <v>64</v>
      </c>
      <c r="Q111" s="22">
        <f>Q74+Q110</f>
        <v>62</v>
      </c>
      <c r="S111" s="22">
        <f>S74+S110</f>
        <v>61</v>
      </c>
      <c r="U111" s="22">
        <f>U74+U110</f>
        <v>53</v>
      </c>
      <c r="W111" s="22">
        <f>W74+W110</f>
        <v>63</v>
      </c>
      <c r="Y111" s="22">
        <f>Y74+Y110</f>
        <v>64</v>
      </c>
      <c r="AA111" s="22">
        <f>AA74+AA110</f>
        <v>57</v>
      </c>
      <c r="AC111" s="22">
        <f>AC74+AC110</f>
        <v>64</v>
      </c>
      <c r="AE111" s="22">
        <f>AE74+AE110</f>
        <v>67</v>
      </c>
      <c r="AG111" s="22">
        <f>AG74+AG110</f>
        <v>61</v>
      </c>
      <c r="AI111" s="22">
        <f>AI74+AI110</f>
        <v>63</v>
      </c>
      <c r="AK111" s="22">
        <f>AK74+AK110</f>
        <v>64</v>
      </c>
      <c r="AM111" s="22">
        <f>AM74+AM110</f>
        <v>68</v>
      </c>
      <c r="AO111" s="22">
        <f>AO74+AO110</f>
        <v>69</v>
      </c>
      <c r="AQ111" s="22">
        <f>AQ74+AQ110</f>
        <v>55</v>
      </c>
      <c r="AS111" s="22">
        <f>AS74+AS110</f>
        <v>70</v>
      </c>
      <c r="AU111" s="22">
        <f>AU74+AU110</f>
        <v>64</v>
      </c>
      <c r="AW111" s="22">
        <f>AW74+AW110</f>
        <v>62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4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>
      <c r="A1" t="s">
        <v>264</v>
      </c>
      <c r="B1" t="s">
        <v>265</v>
      </c>
      <c r="D1" s="1" t="s">
        <v>48</v>
      </c>
      <c r="E1" s="2">
        <v>1</v>
      </c>
      <c r="G1" s="2" t="s">
        <v>266</v>
      </c>
      <c r="H1" s="2">
        <v>6</v>
      </c>
    </row>
    <row r="2" spans="1:8">
      <c r="A2" s="7" t="s">
        <v>267</v>
      </c>
      <c r="B2" s="7" t="s">
        <v>268</v>
      </c>
      <c r="D2" s="1" t="s">
        <v>54</v>
      </c>
      <c r="E2" s="2">
        <v>2</v>
      </c>
      <c r="G2" s="2" t="s">
        <v>269</v>
      </c>
      <c r="H2" s="2">
        <v>6</v>
      </c>
    </row>
    <row r="3" spans="1:8">
      <c r="A3" s="7" t="s">
        <v>270</v>
      </c>
      <c r="B3" t="s">
        <v>268</v>
      </c>
      <c r="D3" s="1" t="s">
        <v>60</v>
      </c>
      <c r="E3" s="2">
        <v>3</v>
      </c>
      <c r="G3" s="2" t="s">
        <v>270</v>
      </c>
      <c r="H3" s="2">
        <v>5</v>
      </c>
    </row>
    <row r="4" spans="1:8">
      <c r="A4" s="7" t="s">
        <v>271</v>
      </c>
      <c r="B4" s="7" t="s">
        <v>268</v>
      </c>
      <c r="D4" s="1" t="s">
        <v>67</v>
      </c>
      <c r="E4" s="2">
        <v>4</v>
      </c>
      <c r="G4" s="2" t="s">
        <v>271</v>
      </c>
      <c r="H4" s="2">
        <v>5</v>
      </c>
    </row>
    <row r="5" spans="1:8">
      <c r="A5" s="7" t="s">
        <v>272</v>
      </c>
      <c r="B5" s="7" t="s">
        <v>268</v>
      </c>
      <c r="D5" s="1" t="s">
        <v>74</v>
      </c>
      <c r="E5" s="2">
        <v>5</v>
      </c>
      <c r="G5" s="2" t="s">
        <v>272</v>
      </c>
      <c r="H5" s="2">
        <v>5</v>
      </c>
    </row>
    <row r="6" spans="1:8">
      <c r="A6" s="7" t="s">
        <v>273</v>
      </c>
      <c r="B6" s="7" t="s">
        <v>268</v>
      </c>
      <c r="D6" s="1" t="s">
        <v>79</v>
      </c>
      <c r="E6" s="2">
        <v>6</v>
      </c>
      <c r="G6" s="2" t="s">
        <v>273</v>
      </c>
      <c r="H6" s="2">
        <v>5</v>
      </c>
    </row>
    <row r="7" spans="1:8">
      <c r="A7" s="7" t="s">
        <v>274</v>
      </c>
      <c r="B7" s="7" t="s">
        <v>268</v>
      </c>
      <c r="D7" s="1" t="s">
        <v>83</v>
      </c>
      <c r="E7" s="2">
        <v>7</v>
      </c>
      <c r="G7" s="2" t="s">
        <v>274</v>
      </c>
      <c r="H7" s="2">
        <v>5</v>
      </c>
    </row>
    <row r="8" spans="1:8">
      <c r="A8" t="s">
        <v>275</v>
      </c>
      <c r="B8" s="7"/>
      <c r="D8" s="1" t="s">
        <v>89</v>
      </c>
      <c r="E8" s="2">
        <v>8</v>
      </c>
      <c r="G8" s="2" t="s">
        <v>276</v>
      </c>
      <c r="H8" s="2">
        <v>5</v>
      </c>
    </row>
    <row r="9" spans="1:8">
      <c r="A9" s="7" t="s">
        <v>276</v>
      </c>
      <c r="B9" s="7" t="s">
        <v>268</v>
      </c>
      <c r="D9" s="1" t="s">
        <v>96</v>
      </c>
      <c r="E9" s="2">
        <v>9</v>
      </c>
      <c r="G9" s="2" t="s">
        <v>277</v>
      </c>
      <c r="H9" s="2">
        <v>5</v>
      </c>
    </row>
    <row r="10" spans="1:8">
      <c r="A10" s="7" t="s">
        <v>266</v>
      </c>
      <c r="B10" s="7" t="s">
        <v>268</v>
      </c>
      <c r="D10" s="1" t="s">
        <v>99</v>
      </c>
      <c r="E10" s="2">
        <v>10</v>
      </c>
      <c r="G10" s="2" t="s">
        <v>278</v>
      </c>
      <c r="H10" s="2">
        <v>5</v>
      </c>
    </row>
    <row r="11" spans="1:8">
      <c r="A11" s="7" t="s">
        <v>279</v>
      </c>
      <c r="B11" s="7" t="s">
        <v>268</v>
      </c>
      <c r="D11" s="1" t="s">
        <v>106</v>
      </c>
      <c r="E11" s="2">
        <v>11</v>
      </c>
      <c r="G11" s="2" t="s">
        <v>280</v>
      </c>
      <c r="H11" s="2">
        <v>5</v>
      </c>
    </row>
    <row r="12" spans="1:8">
      <c r="A12" s="7" t="s">
        <v>281</v>
      </c>
      <c r="B12" s="7" t="s">
        <v>268</v>
      </c>
      <c r="D12" s="1" t="s">
        <v>111</v>
      </c>
      <c r="E12" s="2">
        <v>13</v>
      </c>
      <c r="G12" s="2" t="s">
        <v>282</v>
      </c>
      <c r="H12" s="2">
        <v>5</v>
      </c>
    </row>
    <row r="13" spans="1:8">
      <c r="A13" s="7" t="s">
        <v>283</v>
      </c>
      <c r="B13" s="7" t="s">
        <v>268</v>
      </c>
      <c r="D13" s="1" t="s">
        <v>51</v>
      </c>
      <c r="E13" s="2">
        <v>14</v>
      </c>
      <c r="G13" s="2" t="s">
        <v>279</v>
      </c>
      <c r="H13" s="2">
        <v>4</v>
      </c>
    </row>
    <row r="14" spans="1:8">
      <c r="A14" s="7" t="s">
        <v>284</v>
      </c>
      <c r="B14" s="7" t="s">
        <v>268</v>
      </c>
      <c r="D14" s="1" t="s">
        <v>120</v>
      </c>
      <c r="E14" s="2">
        <v>15</v>
      </c>
      <c r="G14" s="2" t="s">
        <v>281</v>
      </c>
      <c r="H14" s="2">
        <v>4</v>
      </c>
    </row>
    <row r="15" spans="1:8">
      <c r="A15" s="7" t="s">
        <v>277</v>
      </c>
      <c r="B15" s="7" t="s">
        <v>268</v>
      </c>
      <c r="D15" s="1" t="s">
        <v>71</v>
      </c>
      <c r="E15" s="2">
        <v>16</v>
      </c>
      <c r="G15" s="2" t="s">
        <v>283</v>
      </c>
      <c r="H15" s="2">
        <v>4</v>
      </c>
    </row>
    <row r="16" spans="1:8">
      <c r="A16" s="7" t="s">
        <v>278</v>
      </c>
      <c r="B16" s="7" t="s">
        <v>268</v>
      </c>
      <c r="D16" s="1" t="s">
        <v>127</v>
      </c>
      <c r="E16" s="2">
        <v>17</v>
      </c>
      <c r="G16" s="2" t="s">
        <v>285</v>
      </c>
      <c r="H16" s="2">
        <v>4</v>
      </c>
    </row>
    <row r="17" spans="1:8">
      <c r="A17" s="7" t="s">
        <v>285</v>
      </c>
      <c r="B17" s="7" t="s">
        <v>268</v>
      </c>
      <c r="D17" s="1" t="s">
        <v>104</v>
      </c>
      <c r="E17" s="2">
        <v>18</v>
      </c>
      <c r="G17" s="2" t="s">
        <v>267</v>
      </c>
      <c r="H17" s="2">
        <v>3</v>
      </c>
    </row>
    <row r="18" spans="1:8">
      <c r="A18" s="7" t="s">
        <v>269</v>
      </c>
      <c r="B18" s="7" t="s">
        <v>268</v>
      </c>
      <c r="D18" s="1" t="s">
        <v>77</v>
      </c>
      <c r="E18" s="2">
        <v>19</v>
      </c>
      <c r="G18" s="2" t="s">
        <v>284</v>
      </c>
      <c r="H18" s="2">
        <v>3</v>
      </c>
    </row>
    <row r="19" spans="1:8">
      <c r="A19" s="7" t="s">
        <v>280</v>
      </c>
      <c r="B19" s="7" t="s">
        <v>268</v>
      </c>
      <c r="D19" s="1" t="s">
        <v>130</v>
      </c>
      <c r="E19" s="2">
        <v>20</v>
      </c>
      <c r="G19" s="2" t="s">
        <v>275</v>
      </c>
      <c r="H19" s="2">
        <v>2</v>
      </c>
    </row>
    <row r="20" spans="1:8">
      <c r="A20" s="7" t="s">
        <v>282</v>
      </c>
      <c r="B20" s="7" t="s">
        <v>268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286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/>
</file>

<file path=customXml/itemProps2.xml><?xml version="1.0" encoding="utf-8"?>
<ds:datastoreItem xmlns:ds="http://schemas.openxmlformats.org/officeDocument/2006/customXml" ds:itemID="{3B8E7FBF-934E-4B2F-82FD-1F264DBE7A89}"/>
</file>

<file path=customXml/itemProps3.xml><?xml version="1.0" encoding="utf-8"?>
<ds:datastoreItem xmlns:ds="http://schemas.openxmlformats.org/officeDocument/2006/customXml" ds:itemID="{F989BE2C-0FFF-4390-9E78-D618C70A35A4}"/>
</file>

<file path=customXml/itemProps4.xml><?xml version="1.0" encoding="utf-8"?>
<ds:datastoreItem xmlns:ds="http://schemas.openxmlformats.org/officeDocument/2006/customXml" ds:itemID="{007291BB-E7C1-41E6-B4E1-AA5FDDFADFBD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2026-07-14T11:52:24Z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