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0C41A915-37B8-4BB0-B80E-FEC491F54FEB}" xr6:coauthVersionLast="47" xr6:coauthVersionMax="47" xr10:uidLastSave="{00000000-0000-0000-0000-000000000000}"/>
  <bookViews>
    <workbookView xWindow="-25590" yWindow="-21720" windowWidth="386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96" i="1" l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2" i="1"/>
  <c r="G10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 l="1"/>
  <c r="AQ111" i="1"/>
  <c r="AW111" i="1"/>
  <c r="AO111" i="1"/>
  <c r="AS111" i="1"/>
  <c r="AI111" i="1"/>
  <c r="AE74" i="1"/>
  <c r="AE111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Y111" i="1" s="1"/>
  <c r="U74" i="1"/>
  <c r="U111" i="1" s="1"/>
  <c r="W74" i="1"/>
  <c r="W111" i="1" s="1"/>
  <c r="AG74" i="1"/>
  <c r="AG111" i="1" s="1"/>
  <c r="AK74" i="1"/>
  <c r="AK111" i="1" s="1"/>
  <c r="M74" i="1"/>
  <c r="M111" i="1" s="1"/>
  <c r="AA74" i="1"/>
  <c r="AA111" i="1" s="1"/>
  <c r="AC74" i="1"/>
  <c r="AC111" i="1" s="1"/>
  <c r="Q74" i="1"/>
  <c r="Q111" i="1" s="1"/>
  <c r="O74" i="1"/>
  <c r="O111" i="1" s="1"/>
  <c r="S74" i="1"/>
  <c r="S111" i="1" s="1"/>
  <c r="AU2" i="1" l="1"/>
  <c r="AU74" i="1" s="1"/>
  <c r="AU111" i="1" s="1"/>
</calcChain>
</file>

<file path=xl/sharedStrings.xml><?xml version="1.0" encoding="utf-8"?>
<sst xmlns="http://schemas.openxmlformats.org/spreadsheetml/2006/main" count="2642" uniqueCount="285">
  <si>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</si>
  <si>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</si>
  <si>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</si>
  <si>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</si>
  <si>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</si>
  <si>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</si>
  <si>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</si>
  <si>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</si>
  <si>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</si>
  <si>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</si>
  <si>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</si>
  <si>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</si>
  <si>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</si>
  <si>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</si>
  <si>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</si>
  <si>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</si>
  <si>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</si>
  <si>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</si>
  <si>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</si>
  <si>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</si>
  <si>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</si>
  <si>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</si>
  <si>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</si>
  <si>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</si>
  <si>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</si>
  <si>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</si>
  <si>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</si>
  <si>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</si>
  <si>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</si>
  <si>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</si>
  <si>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</si>
  <si>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</si>
  <si>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</si>
  <si>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</si>
  <si>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</si>
  <si>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</si>
  <si>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</si>
  <si>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</si>
  <si>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</si>
  <si>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</si>
  <si>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</si>
  <si>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</si>
  <si>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</si>
  <si>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</si>
  <si>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</si>
  <si>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</si>
  <si>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</si>
  <si>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</si>
  <si>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</si>
  <si>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</si>
  <si>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</si>
  <si>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</si>
  <si>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</si>
  <si>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</si>
  <si>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</si>
  <si>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</si>
  <si>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</si>
  <si>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</si>
  <si>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</si>
  <si>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</si>
  <si>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</si>
  <si>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</si>
  <si>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</si>
  <si>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</si>
  <si>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</si>
  <si>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</si>
  <si>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</si>
  <si>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</si>
  <si>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</si>
  <si>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</si>
  <si>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</si>
  <si>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</si>
  <si>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</si>
  <si>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</si>
  <si>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</si>
  <si>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</si>
  <si>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</si>
  <si>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</si>
  <si>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</si>
  <si>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</si>
  <si>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</si>
  <si>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</si>
  <si>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</si>
  <si>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</si>
  <si>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</si>
  <si>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</si>
  <si>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</si>
  <si>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</si>
  <si>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</si>
  <si>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</si>
  <si>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</si>
  <si>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</si>
  <si>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</si>
  <si>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</si>
  <si>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</si>
  <si>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</si>
  <si>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</si>
  <si>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</si>
  <si>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</si>
  <si>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</si>
  <si>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</si>
  <si>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</si>
  <si>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</si>
  <si>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</si>
  <si>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</si>
  <si>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</si>
  <si>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</si>
  <si>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</si>
  <si>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</si>
  <si>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</si>
  <si>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</si>
  <si>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</si>
  <si>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</si>
  <si>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</si>
  <si>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</si>
  <si>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</si>
  <si>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</si>
  <si>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</si>
  <si>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</si>
  <si>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</si>
  <si>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</si>
  <si>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</si>
  <si>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</si>
  <si>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</si>
  <si>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</si>
  <si>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</si>
  <si>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</si>
  <si>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</si>
  <si>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</si>
  <si>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</si>
  <si>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</si>
  <si>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</si>
  <si>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</si>
  <si>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</si>
  <si>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</si>
  <si>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</si>
  <si>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</si>
  <si>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</si>
  <si>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</si>
  <si>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</si>
  <si>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</si>
  <si>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</si>
  <si>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</si>
  <si>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</si>
  <si>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</si>
  <si>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</si>
  <si>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</si>
  <si>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</si>
  <si>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</si>
  <si>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</si>
  <si>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</si>
  <si>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</si>
  <si>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</si>
  <si>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</si>
  <si>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</si>
  <si>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</si>
  <si>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</si>
  <si>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</si>
  <si>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</si>
  <si>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</si>
  <si>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</si>
  <si>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</si>
  <si>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</si>
  <si>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</si>
  <si>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</si>
  <si>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</si>
  <si>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</si>
  <si>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</si>
  <si>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</si>
  <si>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</si>
  <si>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</si>
  <si>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</si>
  <si>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</si>
  <si>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</si>
  <si>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</si>
  <si>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</si>
  <si>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</si>
  <si>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</si>
  <si>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</si>
  <si>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</si>
  <si>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</si>
  <si>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</si>
  <si>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</si>
  <si>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</si>
  <si>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</si>
  <si>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</si>
  <si>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</si>
  <si>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</si>
  <si>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</si>
  <si>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</si>
  <si>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</si>
  <si>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</si>
  <si>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</si>
  <si>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</si>
  <si>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</si>
  <si>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</si>
  <si>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</si>
  <si>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</si>
  <si>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</si>
  <si>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</si>
  <si>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</si>
  <si>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</si>
  <si>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</si>
  <si>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</si>
  <si>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</si>
  <si>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</si>
  <si>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</si>
  <si>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</si>
  <si>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</si>
  <si>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</si>
  <si>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</si>
  <si>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</si>
  <si>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</si>
  <si>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</si>
  <si>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</si>
  <si>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</si>
  <si>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</si>
  <si>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</si>
  <si>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</si>
  <si>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</si>
  <si>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</si>
  <si>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</si>
  <si>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</si>
  <si>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</si>
  <si>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</si>
  <si>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</si>
  <si>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</si>
  <si>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</si>
  <si>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</si>
  <si>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</si>
  <si>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</si>
  <si>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</si>
  <si>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</si>
  <si>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</si>
  <si>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</si>
  <si>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</si>
  <si>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</si>
  <si>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</si>
  <si>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</si>
  <si>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</si>
  <si>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</si>
  <si>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</si>
  <si>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</si>
  <si>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</si>
  <si>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</si>
  <si>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</si>
  <si>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</si>
  <si>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</si>
  <si>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</si>
  <si>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</si>
  <si>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</si>
  <si>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</si>
  <si>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</si>
  <si>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</si>
  <si>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</si>
  <si>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</si>
  <si>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</si>
  <si>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</si>
  <si>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</si>
  <si>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</si>
  <si>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</si>
  <si>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</si>
  <si>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</si>
  <si>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</si>
  <si>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</si>
  <si>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</si>
  <si>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</si>
  <si>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</si>
  <si>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</si>
  <si>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</si>
  <si>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</si>
  <si>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</si>
  <si>
    <t> </t>
  </si>
  <si>
    <t>Sunday, 5 July 2026</t>
  </si>
  <si>
    <t>Monday, 6 July 2026</t>
  </si>
  <si>
    <t>Tuesday, 7 July 2026</t>
  </si>
  <si>
    <t>Wednesday, 8 July 2026</t>
  </si>
  <si>
    <t>Friday, 10 July 2026</t>
  </si>
  <si>
    <t>Saturday, 11 July 2026</t>
  </si>
  <si>
    <t>Sunday, 12 July 2026</t>
  </si>
  <si>
    <t>Wednesday, 15 July 2026</t>
  </si>
  <si>
    <t>Thursday, 16 July 2026</t>
  </si>
  <si>
    <t>Sunday, 19 July 2026</t>
  </si>
  <si>
    <t>Monday, 20 July 2026</t>
  </si>
  <si>
    <t>Columbia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</si>
</sst>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K66" activePane="bottomRight" state="frozen"/>
      <selection activeCell="D1" sqref="D1"/>
      <selection pane="topRight" activeCell="K1" sqref="K1"/>
      <selection pane="bottomLeft" activeCell="D2" sqref="D2"/>
      <selection pane="bottomRight" activeCell="J113" sqref="J113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1"/>
      <c r="F74" s="22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0" t="s">
        <v>200</v>
      </c>
      <c r="E75" s="18" t="s">
        <v>201</v>
      </c>
      <c r="F75" s="19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3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0" t="s">
        <v>203</v>
      </c>
      <c r="E76" s="18" t="s">
        <v>204</v>
      </c>
      <c r="F76" s="19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20" t="s">
        <v>205</v>
      </c>
      <c r="E77" s="18" t="s">
        <v>204</v>
      </c>
      <c r="F77" s="19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20" t="s">
        <v>206</v>
      </c>
      <c r="E78" s="18" t="s">
        <v>204</v>
      </c>
      <c r="F78" s="19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20" t="s">
        <v>207</v>
      </c>
      <c r="E79" s="18" t="s">
        <v>208</v>
      </c>
      <c r="F79" s="19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20" t="s">
        <v>209</v>
      </c>
      <c r="E80" s="18" t="s">
        <v>208</v>
      </c>
      <c r="F80" s="19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20" t="s">
        <v>210</v>
      </c>
      <c r="E81" s="18" t="s">
        <v>208</v>
      </c>
      <c r="F81" s="19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20" t="s">
        <v>211</v>
      </c>
      <c r="E82" s="18" t="s">
        <v>212</v>
      </c>
      <c r="F82" s="19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20" t="s">
        <v>213</v>
      </c>
      <c r="E83" s="18" t="s">
        <v>212</v>
      </c>
      <c r="F83" s="19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20" t="s">
        <v>214</v>
      </c>
      <c r="E84" s="18" t="s">
        <v>212</v>
      </c>
      <c r="F84" s="19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5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20" t="s">
        <v>215</v>
      </c>
      <c r="E85" s="18" t="s">
        <v>216</v>
      </c>
      <c r="F85" s="19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20" t="s">
        <v>217</v>
      </c>
      <c r="E86" s="18" t="s">
        <v>216</v>
      </c>
      <c r="F86" s="19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20" t="s">
        <v>218</v>
      </c>
      <c r="E87" s="18" t="s">
        <v>216</v>
      </c>
      <c r="F87" s="19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20" t="s">
        <v>219</v>
      </c>
      <c r="E88" s="18" t="s">
        <v>220</v>
      </c>
      <c r="F88" s="19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31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20" t="s">
        <v>221</v>
      </c>
      <c r="E89" s="18" t="s">
        <v>220</v>
      </c>
      <c r="F89" s="19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20" t="s">
        <v>222</v>
      </c>
      <c r="E90" s="18" t="s">
        <v>220</v>
      </c>
      <c r="F90" s="19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31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F91" s="29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223</v>
      </c>
      <c r="D92" s="20" t="s">
        <v>224</v>
      </c>
      <c r="E92" s="10" t="s">
        <v>273</v>
      </c>
      <c r="F92" s="19">
        <v>0.20833333333333334</v>
      </c>
      <c r="G92" s="33" t="s">
        <v>64</v>
      </c>
      <c r="H92" s="33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31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223</v>
      </c>
      <c r="D93" s="20" t="s">
        <v>225</v>
      </c>
      <c r="E93" s="10" t="s">
        <v>273</v>
      </c>
      <c r="F93" s="19">
        <v>0.375</v>
      </c>
      <c r="G93" s="34" t="s">
        <v>72</v>
      </c>
      <c r="H93" s="34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223</v>
      </c>
      <c r="D94" s="20" t="s">
        <v>226</v>
      </c>
      <c r="E94" s="10" t="s">
        <v>274</v>
      </c>
      <c r="F94" s="19">
        <v>0.33333333333333331</v>
      </c>
      <c r="G94" s="34" t="s">
        <v>79</v>
      </c>
      <c r="H94" s="34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 x14ac:dyDescent="0.35">
      <c r="C95" s="1" t="s">
        <v>223</v>
      </c>
      <c r="D95" s="20" t="s">
        <v>227</v>
      </c>
      <c r="E95" s="10" t="s">
        <v>274</v>
      </c>
      <c r="F95" s="19">
        <v>0.5</v>
      </c>
      <c r="G95" s="34" t="s">
        <v>51</v>
      </c>
      <c r="H95" s="34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 x14ac:dyDescent="0.35">
      <c r="C96" s="1" t="s">
        <v>223</v>
      </c>
      <c r="D96" s="20" t="s">
        <v>228</v>
      </c>
      <c r="E96" s="10" t="s">
        <v>275</v>
      </c>
      <c r="F96" s="19">
        <v>0.29166666666666669</v>
      </c>
      <c r="G96" s="34" t="s">
        <v>74</v>
      </c>
      <c r="H96" s="34" t="s">
        <v>54</v>
      </c>
      <c r="I96" s="1">
        <v>93</v>
      </c>
      <c r="J96" s="1" t="s">
        <v>105</v>
      </c>
      <c r="K96" s="1"/>
      <c r="L96" s="6" t="s">
        <v>54</v>
      </c>
      <c r="M96" s="1" t="str">
        <f t="shared" si="19"/>
        <v>TBP</v>
      </c>
      <c r="N96" s="6" t="s">
        <v>54</v>
      </c>
      <c r="O96" s="1" t="str">
        <f t="shared" si="38"/>
        <v>TBP</v>
      </c>
      <c r="P96" s="1" t="s">
        <v>54</v>
      </c>
      <c r="Q96" s="1" t="str">
        <f t="shared" si="39"/>
        <v>TBP</v>
      </c>
      <c r="R96" s="6" t="s">
        <v>74</v>
      </c>
      <c r="S96" s="6" t="str">
        <f t="shared" si="40"/>
        <v>TBP</v>
      </c>
      <c r="T96" s="31" t="s">
        <v>54</v>
      </c>
      <c r="U96" s="6" t="str">
        <f t="shared" si="41"/>
        <v>TBP</v>
      </c>
      <c r="V96" s="6" t="s">
        <v>54</v>
      </c>
      <c r="W96" s="6" t="str">
        <f t="shared" si="42"/>
        <v>TBP</v>
      </c>
      <c r="X96" s="6" t="s">
        <v>74</v>
      </c>
      <c r="Y96" s="6" t="str">
        <f t="shared" si="43"/>
        <v>TBP</v>
      </c>
      <c r="Z96" s="38" t="s">
        <v>74</v>
      </c>
      <c r="AA96" s="6" t="str">
        <f t="shared" si="44"/>
        <v>TBP</v>
      </c>
      <c r="AB96" s="32" t="s">
        <v>74</v>
      </c>
      <c r="AC96" s="6" t="str">
        <f t="shared" si="45"/>
        <v>TBP</v>
      </c>
      <c r="AD96" s="6" t="s">
        <v>54</v>
      </c>
      <c r="AE96" s="6" t="str">
        <f t="shared" si="46"/>
        <v>TBP</v>
      </c>
      <c r="AF96" s="6" t="s">
        <v>74</v>
      </c>
      <c r="AG96" s="6" t="str">
        <f t="shared" si="47"/>
        <v>TBP</v>
      </c>
      <c r="AH96" s="6" t="s">
        <v>54</v>
      </c>
      <c r="AI96" s="6" t="str">
        <f t="shared" si="48"/>
        <v>TBP</v>
      </c>
      <c r="AJ96" s="32" t="str">
        <f>AN86</f>
        <v>Portugal</v>
      </c>
      <c r="AK96" s="6" t="str">
        <f t="shared" si="49"/>
        <v>TBP</v>
      </c>
      <c r="AL96" s="6" t="s">
        <v>54</v>
      </c>
      <c r="AM96" s="6" t="str">
        <f t="shared" si="50"/>
        <v>TBP</v>
      </c>
      <c r="AN96" s="6" t="s">
        <v>54</v>
      </c>
      <c r="AO96" s="6" t="str">
        <f t="shared" si="51"/>
        <v>TBP</v>
      </c>
      <c r="AP96" s="6" t="s">
        <v>74</v>
      </c>
      <c r="AQ96" s="6" t="str">
        <f t="shared" si="52"/>
        <v>TBP</v>
      </c>
      <c r="AR96" s="6" t="s">
        <v>54</v>
      </c>
      <c r="AS96" s="6" t="str">
        <f t="shared" si="53"/>
        <v>TBP</v>
      </c>
      <c r="AT96" s="6" t="s">
        <v>54</v>
      </c>
      <c r="AU96" s="6" t="str">
        <f t="shared" si="54"/>
        <v>TBP</v>
      </c>
      <c r="AV96" s="6" t="s">
        <v>54</v>
      </c>
      <c r="AW96" s="6" t="str">
        <f t="shared" si="56"/>
        <v>TBP</v>
      </c>
    </row>
    <row r="97" spans="3:49" x14ac:dyDescent="0.35">
      <c r="C97" s="1" t="s">
        <v>223</v>
      </c>
      <c r="D97" s="20" t="s">
        <v>229</v>
      </c>
      <c r="E97" s="10" t="s">
        <v>275</v>
      </c>
      <c r="F97" s="19">
        <v>0.5</v>
      </c>
      <c r="G97" s="34" t="s">
        <v>71</v>
      </c>
      <c r="H97" s="34" t="s">
        <v>96</v>
      </c>
      <c r="I97" s="1">
        <v>94</v>
      </c>
      <c r="J97" s="1" t="s">
        <v>124</v>
      </c>
      <c r="K97" s="1"/>
      <c r="L97" s="6" t="s">
        <v>71</v>
      </c>
      <c r="M97" s="1" t="str">
        <f t="shared" si="19"/>
        <v>TBP</v>
      </c>
      <c r="N97" s="6" t="s">
        <v>96</v>
      </c>
      <c r="O97" s="1" t="str">
        <f t="shared" si="38"/>
        <v>TBP</v>
      </c>
      <c r="P97" s="1" t="s">
        <v>71</v>
      </c>
      <c r="Q97" s="1" t="str">
        <f t="shared" si="39"/>
        <v>TBP</v>
      </c>
      <c r="R97" s="6" t="s">
        <v>71</v>
      </c>
      <c r="S97" s="6" t="str">
        <f t="shared" si="40"/>
        <v>TBP</v>
      </c>
      <c r="T97" s="31" t="s">
        <v>96</v>
      </c>
      <c r="U97" s="6" t="str">
        <f t="shared" si="41"/>
        <v>TBP</v>
      </c>
      <c r="V97" s="6" t="s">
        <v>71</v>
      </c>
      <c r="W97" s="6" t="str">
        <f t="shared" si="42"/>
        <v>TBP</v>
      </c>
      <c r="X97" s="6" t="s">
        <v>96</v>
      </c>
      <c r="Y97" s="6" t="str">
        <f t="shared" si="43"/>
        <v>TBP</v>
      </c>
      <c r="Z97" s="38" t="s">
        <v>96</v>
      </c>
      <c r="AA97" s="6" t="str">
        <f t="shared" si="44"/>
        <v>TBP</v>
      </c>
      <c r="AB97" s="6" t="s">
        <v>71</v>
      </c>
      <c r="AC97" s="6" t="str">
        <f t="shared" si="45"/>
        <v>TBP</v>
      </c>
      <c r="AD97" s="6" t="s">
        <v>96</v>
      </c>
      <c r="AE97" s="6" t="str">
        <f t="shared" si="46"/>
        <v>TBP</v>
      </c>
      <c r="AF97" s="6" t="s">
        <v>71</v>
      </c>
      <c r="AG97" s="6" t="str">
        <f t="shared" si="47"/>
        <v>TBP</v>
      </c>
      <c r="AH97" s="6" t="s">
        <v>71</v>
      </c>
      <c r="AI97" s="6" t="str">
        <f t="shared" si="48"/>
        <v>TBP</v>
      </c>
      <c r="AJ97" s="6" t="s">
        <v>96</v>
      </c>
      <c r="AK97" s="6" t="str">
        <f t="shared" si="49"/>
        <v>TBP</v>
      </c>
      <c r="AL97" s="6" t="s">
        <v>96</v>
      </c>
      <c r="AM97" s="6" t="str">
        <f t="shared" si="50"/>
        <v>TBP</v>
      </c>
      <c r="AN97" s="6" t="s">
        <v>96</v>
      </c>
      <c r="AO97" s="6" t="str">
        <f t="shared" si="51"/>
        <v>TBP</v>
      </c>
      <c r="AP97" s="6" t="s">
        <v>96</v>
      </c>
      <c r="AQ97" s="6" t="str">
        <f t="shared" si="52"/>
        <v>TBP</v>
      </c>
      <c r="AR97" s="6" t="s">
        <v>71</v>
      </c>
      <c r="AS97" s="6" t="str">
        <f t="shared" si="53"/>
        <v>TBP</v>
      </c>
      <c r="AT97" s="6" t="s">
        <v>71</v>
      </c>
      <c r="AU97" s="6" t="str">
        <f t="shared" si="54"/>
        <v>TBP</v>
      </c>
      <c r="AV97" s="6" t="s">
        <v>71</v>
      </c>
      <c r="AW97" s="6" t="str">
        <f t="shared" si="56"/>
        <v>TBP</v>
      </c>
    </row>
    <row r="98" spans="3:49" x14ac:dyDescent="0.35">
      <c r="C98" s="1" t="s">
        <v>223</v>
      </c>
      <c r="D98" s="20" t="s">
        <v>230</v>
      </c>
      <c r="E98" s="10" t="s">
        <v>276</v>
      </c>
      <c r="F98" s="19">
        <v>0.16666666666666666</v>
      </c>
      <c r="G98" s="34" t="s">
        <v>48</v>
      </c>
      <c r="H98" s="34" t="s">
        <v>123</v>
      </c>
      <c r="I98" s="1">
        <v>95</v>
      </c>
      <c r="J98" s="1" t="s">
        <v>119</v>
      </c>
      <c r="K98" s="1"/>
      <c r="L98" s="6" t="s">
        <v>123</v>
      </c>
      <c r="M98" s="1" t="str">
        <f t="shared" si="19"/>
        <v>TBP</v>
      </c>
      <c r="N98" s="36" t="s">
        <v>48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T98" s="34" t="s">
        <v>48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Z98" s="38" t="s">
        <v>48</v>
      </c>
      <c r="AA98" s="6" t="str">
        <f t="shared" si="44"/>
        <v>TBP</v>
      </c>
      <c r="AC98" s="6" t="str">
        <f t="shared" si="45"/>
        <v>TBP</v>
      </c>
      <c r="AD98" s="35" t="s">
        <v>48</v>
      </c>
      <c r="AE98" s="6" t="str">
        <f t="shared" si="46"/>
        <v>TBP</v>
      </c>
      <c r="AF98" s="6" t="s">
        <v>48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L98" s="6" t="s">
        <v>48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 x14ac:dyDescent="0.35">
      <c r="C99" s="1" t="s">
        <v>223</v>
      </c>
      <c r="D99" s="20" t="s">
        <v>231</v>
      </c>
      <c r="E99" s="10" t="s">
        <v>276</v>
      </c>
      <c r="F99" s="19">
        <v>0.33333333333333331</v>
      </c>
      <c r="G99" s="34" t="s">
        <v>77</v>
      </c>
      <c r="H99" s="34" t="s">
        <v>111</v>
      </c>
      <c r="I99" s="1">
        <v>96</v>
      </c>
      <c r="J99" s="1" t="s">
        <v>94</v>
      </c>
      <c r="K99" s="1"/>
      <c r="L99" s="6" t="s">
        <v>284</v>
      </c>
      <c r="M99" s="1" t="str">
        <f t="shared" si="19"/>
        <v>TBP</v>
      </c>
      <c r="N99" s="36" t="s">
        <v>111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T99" s="34" t="s">
        <v>111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Z99" s="38" t="s">
        <v>77</v>
      </c>
      <c r="AA99" s="6" t="str">
        <f t="shared" si="44"/>
        <v>TBP</v>
      </c>
      <c r="AC99" s="6" t="str">
        <f t="shared" si="45"/>
        <v>TBP</v>
      </c>
      <c r="AD99" s="6" t="s">
        <v>111</v>
      </c>
      <c r="AE99" s="6" t="str">
        <f t="shared" si="46"/>
        <v>TBP</v>
      </c>
      <c r="AF99" s="34" t="s">
        <v>77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L99" s="6" t="s">
        <v>111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 x14ac:dyDescent="0.35">
      <c r="C100" s="1"/>
      <c r="D100" s="20"/>
      <c r="E100" s="28"/>
      <c r="F100" s="19">
        <v>0.33333333333333331</v>
      </c>
      <c r="G100" s="34" t="s">
        <v>272</v>
      </c>
      <c r="H100" s="34" t="s">
        <v>272</v>
      </c>
      <c r="I100" s="1"/>
      <c r="J100" s="1"/>
      <c r="K100" s="1"/>
      <c r="M100" s="1" t="str">
        <f t="shared" si="19"/>
        <v>TBP</v>
      </c>
      <c r="N100" s="37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232</v>
      </c>
      <c r="D101" s="20" t="s">
        <v>233</v>
      </c>
      <c r="E101" s="10" t="s">
        <v>277</v>
      </c>
      <c r="F101" s="19">
        <v>0.29166666666666669</v>
      </c>
      <c r="G101" s="34" t="s">
        <v>60</v>
      </c>
      <c r="H101" s="34" t="s">
        <v>83</v>
      </c>
      <c r="I101" s="1">
        <v>97</v>
      </c>
      <c r="J101" s="1" t="s">
        <v>88</v>
      </c>
      <c r="K101" s="1"/>
      <c r="L101" s="6" t="s">
        <v>83</v>
      </c>
      <c r="M101" s="1" t="str">
        <f t="shared" si="19"/>
        <v>TBP</v>
      </c>
      <c r="N101" s="36" t="s">
        <v>60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T101" s="34" t="s">
        <v>83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F101" s="34" t="s">
        <v>83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L101" s="6" t="s">
        <v>60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 x14ac:dyDescent="0.35">
      <c r="C102" s="1" t="s">
        <v>232</v>
      </c>
      <c r="D102" s="20" t="s">
        <v>234</v>
      </c>
      <c r="E102" s="10" t="s">
        <v>278</v>
      </c>
      <c r="F102" s="19">
        <v>0.375</v>
      </c>
      <c r="G102" s="8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 x14ac:dyDescent="0.35">
      <c r="C103" s="1" t="s">
        <v>232</v>
      </c>
      <c r="D103" s="20" t="s">
        <v>235</v>
      </c>
      <c r="E103" s="10" t="s">
        <v>279</v>
      </c>
      <c r="F103" s="19">
        <v>0.54166666666666663</v>
      </c>
      <c r="G103" s="8" t="s">
        <v>136</v>
      </c>
      <c r="H103" s="1" t="s">
        <v>67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 x14ac:dyDescent="0.35">
      <c r="C104" s="1" t="s">
        <v>232</v>
      </c>
      <c r="D104" s="20" t="s">
        <v>236</v>
      </c>
      <c r="E104" s="10" t="s">
        <v>279</v>
      </c>
      <c r="F104" s="19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 x14ac:dyDescent="0.35">
      <c r="C105" s="1" t="s">
        <v>237</v>
      </c>
      <c r="D105" s="20" t="s">
        <v>238</v>
      </c>
      <c r="E105" s="10" t="s">
        <v>280</v>
      </c>
      <c r="F105" s="19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 x14ac:dyDescent="0.35">
      <c r="C106" s="1" t="s">
        <v>237</v>
      </c>
      <c r="D106" s="20" t="s">
        <v>239</v>
      </c>
      <c r="E106" s="10" t="s">
        <v>281</v>
      </c>
      <c r="F106" s="19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 x14ac:dyDescent="0.35">
      <c r="C107" s="1" t="s">
        <v>240</v>
      </c>
      <c r="D107" s="20" t="s">
        <v>241</v>
      </c>
      <c r="E107" s="10" t="s">
        <v>282</v>
      </c>
      <c r="F107" s="19">
        <v>0.29166666666666669</v>
      </c>
      <c r="G107" s="8" t="s">
        <v>242</v>
      </c>
      <c r="H107" s="1" t="s">
        <v>243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244</v>
      </c>
      <c r="D108" s="20" t="s">
        <v>245</v>
      </c>
      <c r="E108" s="10" t="s">
        <v>283</v>
      </c>
      <c r="F108" s="27"/>
      <c r="G108" s="8" t="s">
        <v>246</v>
      </c>
      <c r="H108" s="1" t="s">
        <v>247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 x14ac:dyDescent="0.35">
      <c r="E109" s="26"/>
      <c r="F109" s="30"/>
    </row>
    <row r="110" spans="3:49" x14ac:dyDescent="0.35">
      <c r="M110" s="6">
        <f>COUNTIF(M75:M108, "Matched")</f>
        <v>9</v>
      </c>
      <c r="O110" s="6">
        <f>COUNTIF(O75:O108, "Matched")</f>
        <v>14</v>
      </c>
      <c r="Q110" s="6">
        <f>COUNTIF(Q75:Q108, "Matched")</f>
        <v>16</v>
      </c>
      <c r="S110" s="6">
        <f>COUNTIF(S75:S108, "Matched")</f>
        <v>14</v>
      </c>
      <c r="U110" s="6">
        <f>COUNTIF(U75:U108, "Matched")</f>
        <v>9</v>
      </c>
      <c r="W110" s="6">
        <f>COUNTIF(W75:W108, "Matched")</f>
        <v>14</v>
      </c>
      <c r="Y110" s="6">
        <f>COUNTIF(Y75:Y108, "Matched")</f>
        <v>12</v>
      </c>
      <c r="AA110" s="6">
        <f>COUNTIF(AA75:AA108, "Matched")</f>
        <v>14</v>
      </c>
      <c r="AC110" s="6">
        <f>COUNTIF(AC75:AC108, "Matched")</f>
        <v>16</v>
      </c>
      <c r="AE110" s="6">
        <f>COUNTIF(AE75:AE108, "Matched")</f>
        <v>16</v>
      </c>
      <c r="AG110" s="6">
        <f>COUNTIF(AG75:AG108, "Matched")</f>
        <v>12</v>
      </c>
      <c r="AI110" s="6">
        <f>COUNTIF(AI75:AI108, "Matched")</f>
        <v>16</v>
      </c>
      <c r="AK110" s="6">
        <f>COUNTIF(AK75:AK108, "Matched")</f>
        <v>17</v>
      </c>
      <c r="AM110" s="6">
        <f>COUNTIF(AM75:AM108, "Matched")</f>
        <v>15</v>
      </c>
      <c r="AO110" s="6">
        <f>COUNTIF(AO75:AO108, "Matched")</f>
        <v>17</v>
      </c>
      <c r="AQ110" s="6">
        <f>COUNTIF(AQ75:AQ108, "Matched")</f>
        <v>11</v>
      </c>
      <c r="AS110" s="6">
        <f>COUNTIF(AS75:AS108, "Matched")</f>
        <v>15</v>
      </c>
      <c r="AU110" s="6">
        <f>COUNTIF(AU75:AU108, "Matched")</f>
        <v>14</v>
      </c>
      <c r="AW110" s="6">
        <f>COUNTIF(AW75:AW108, "Matched")</f>
        <v>15</v>
      </c>
    </row>
    <row r="111" spans="3:49" x14ac:dyDescent="0.35">
      <c r="C111" s="24" t="s">
        <v>248</v>
      </c>
      <c r="M111" s="24">
        <f>M74+M110</f>
        <v>46</v>
      </c>
      <c r="O111" s="24">
        <f>O74+O110</f>
        <v>58</v>
      </c>
      <c r="Q111" s="24">
        <f>Q74+Q110</f>
        <v>57</v>
      </c>
      <c r="S111" s="24">
        <f>S74+S110</f>
        <v>57</v>
      </c>
      <c r="U111" s="24">
        <f>U74+U110</f>
        <v>50</v>
      </c>
      <c r="W111" s="24">
        <f>W74+W110</f>
        <v>58</v>
      </c>
      <c r="Y111" s="24">
        <f>Y74+Y110</f>
        <v>57</v>
      </c>
      <c r="AA111" s="24">
        <f>AA74+AA110</f>
        <v>51</v>
      </c>
      <c r="AC111" s="24">
        <f>AC74+AC110</f>
        <v>60</v>
      </c>
      <c r="AE111" s="24">
        <f>AE74+AE110</f>
        <v>60</v>
      </c>
      <c r="AG111" s="24">
        <f>AG74+AG110</f>
        <v>56</v>
      </c>
      <c r="AI111" s="24">
        <f>AI74+AI110</f>
        <v>59</v>
      </c>
      <c r="AK111" s="24">
        <f>AK74+AK110</f>
        <v>59</v>
      </c>
      <c r="AM111" s="24">
        <f>AM74+AM110</f>
        <v>61</v>
      </c>
      <c r="AO111" s="24">
        <f>AO74+AO110</f>
        <v>63</v>
      </c>
      <c r="AQ111" s="24">
        <f>AQ74+AQ110</f>
        <v>50</v>
      </c>
      <c r="AS111" s="24">
        <f>AS74+AS110</f>
        <v>64</v>
      </c>
      <c r="AU111" s="24">
        <f>AU74+AU110</f>
        <v>58</v>
      </c>
      <c r="AW111" s="24">
        <f>AW74+AW110</f>
        <v>57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249</v>
      </c>
      <c r="B1" t="s">
        <v>250</v>
      </c>
      <c r="D1" s="1" t="s">
        <v>48</v>
      </c>
      <c r="E1" s="2">
        <v>1</v>
      </c>
      <c r="G1" s="2" t="s">
        <v>251</v>
      </c>
      <c r="H1" s="2">
        <v>6</v>
      </c>
    </row>
    <row r="2" spans="1:8" x14ac:dyDescent="0.35">
      <c r="A2" s="7" t="s">
        <v>252</v>
      </c>
      <c r="B2" s="7" t="s">
        <v>253</v>
      </c>
      <c r="D2" s="1" t="s">
        <v>54</v>
      </c>
      <c r="E2" s="2">
        <v>2</v>
      </c>
      <c r="G2" s="2" t="s">
        <v>254</v>
      </c>
      <c r="H2" s="2">
        <v>6</v>
      </c>
    </row>
    <row r="3" spans="1:8" x14ac:dyDescent="0.35">
      <c r="A3" s="7" t="s">
        <v>255</v>
      </c>
      <c r="B3" t="s">
        <v>253</v>
      </c>
      <c r="D3" s="1" t="s">
        <v>60</v>
      </c>
      <c r="E3" s="2">
        <v>3</v>
      </c>
      <c r="G3" s="2" t="s">
        <v>255</v>
      </c>
      <c r="H3" s="2">
        <v>5</v>
      </c>
    </row>
    <row r="4" spans="1:8" x14ac:dyDescent="0.35">
      <c r="A4" s="7" t="s">
        <v>256</v>
      </c>
      <c r="B4" s="7" t="s">
        <v>253</v>
      </c>
      <c r="D4" s="1" t="s">
        <v>67</v>
      </c>
      <c r="E4" s="2">
        <v>4</v>
      </c>
      <c r="G4" s="2" t="s">
        <v>256</v>
      </c>
      <c r="H4" s="2">
        <v>5</v>
      </c>
    </row>
    <row r="5" spans="1:8" x14ac:dyDescent="0.35">
      <c r="A5" s="7" t="s">
        <v>257</v>
      </c>
      <c r="B5" s="7" t="s">
        <v>253</v>
      </c>
      <c r="D5" s="1" t="s">
        <v>74</v>
      </c>
      <c r="E5" s="2">
        <v>5</v>
      </c>
      <c r="G5" s="2" t="s">
        <v>257</v>
      </c>
      <c r="H5" s="2">
        <v>5</v>
      </c>
    </row>
    <row r="6" spans="1:8" x14ac:dyDescent="0.35">
      <c r="A6" s="7" t="s">
        <v>258</v>
      </c>
      <c r="B6" s="7" t="s">
        <v>253</v>
      </c>
      <c r="D6" s="1" t="s">
        <v>79</v>
      </c>
      <c r="E6" s="2">
        <v>6</v>
      </c>
      <c r="G6" s="2" t="s">
        <v>258</v>
      </c>
      <c r="H6" s="2">
        <v>5</v>
      </c>
    </row>
    <row r="7" spans="1:8" x14ac:dyDescent="0.35">
      <c r="A7" s="7" t="s">
        <v>259</v>
      </c>
      <c r="B7" s="7" t="s">
        <v>253</v>
      </c>
      <c r="D7" s="1" t="s">
        <v>83</v>
      </c>
      <c r="E7" s="2">
        <v>7</v>
      </c>
      <c r="G7" s="2" t="s">
        <v>259</v>
      </c>
      <c r="H7" s="2">
        <v>5</v>
      </c>
    </row>
    <row r="8" spans="1:8" x14ac:dyDescent="0.35">
      <c r="A8" t="s">
        <v>260</v>
      </c>
      <c r="B8" s="7"/>
      <c r="D8" s="1" t="s">
        <v>89</v>
      </c>
      <c r="E8" s="2">
        <v>8</v>
      </c>
      <c r="G8" s="2" t="s">
        <v>261</v>
      </c>
      <c r="H8" s="2">
        <v>5</v>
      </c>
    </row>
    <row r="9" spans="1:8" x14ac:dyDescent="0.35">
      <c r="A9" s="7" t="s">
        <v>261</v>
      </c>
      <c r="B9" s="7" t="s">
        <v>253</v>
      </c>
      <c r="D9" s="1" t="s">
        <v>96</v>
      </c>
      <c r="E9" s="2">
        <v>9</v>
      </c>
      <c r="G9" s="2" t="s">
        <v>262</v>
      </c>
      <c r="H9" s="2">
        <v>5</v>
      </c>
    </row>
    <row r="10" spans="1:8" x14ac:dyDescent="0.35">
      <c r="A10" s="7" t="s">
        <v>251</v>
      </c>
      <c r="B10" s="7" t="s">
        <v>253</v>
      </c>
      <c r="D10" s="1" t="s">
        <v>99</v>
      </c>
      <c r="E10" s="2">
        <v>10</v>
      </c>
      <c r="G10" s="2" t="s">
        <v>263</v>
      </c>
      <c r="H10" s="2">
        <v>5</v>
      </c>
    </row>
    <row r="11" spans="1:8" x14ac:dyDescent="0.35">
      <c r="A11" s="7" t="s">
        <v>264</v>
      </c>
      <c r="B11" s="7" t="s">
        <v>253</v>
      </c>
      <c r="D11" s="1" t="s">
        <v>106</v>
      </c>
      <c r="E11" s="2">
        <v>11</v>
      </c>
      <c r="G11" s="2" t="s">
        <v>265</v>
      </c>
      <c r="H11" s="2">
        <v>5</v>
      </c>
    </row>
    <row r="12" spans="1:8" x14ac:dyDescent="0.35">
      <c r="A12" s="7" t="s">
        <v>266</v>
      </c>
      <c r="B12" s="7" t="s">
        <v>253</v>
      </c>
      <c r="D12" s="1" t="s">
        <v>111</v>
      </c>
      <c r="E12" s="2">
        <v>13</v>
      </c>
      <c r="G12" s="2" t="s">
        <v>267</v>
      </c>
      <c r="H12" s="2">
        <v>5</v>
      </c>
    </row>
    <row r="13" spans="1:8" x14ac:dyDescent="0.35">
      <c r="A13" s="7" t="s">
        <v>268</v>
      </c>
      <c r="B13" s="7" t="s">
        <v>253</v>
      </c>
      <c r="D13" s="1" t="s">
        <v>51</v>
      </c>
      <c r="E13" s="2">
        <v>14</v>
      </c>
      <c r="G13" s="2" t="s">
        <v>264</v>
      </c>
      <c r="H13" s="2">
        <v>4</v>
      </c>
    </row>
    <row r="14" spans="1:8" x14ac:dyDescent="0.35">
      <c r="A14" s="7" t="s">
        <v>269</v>
      </c>
      <c r="B14" s="7" t="s">
        <v>253</v>
      </c>
      <c r="D14" s="1" t="s">
        <v>120</v>
      </c>
      <c r="E14" s="2">
        <v>15</v>
      </c>
      <c r="G14" s="2" t="s">
        <v>266</v>
      </c>
      <c r="H14" s="2">
        <v>4</v>
      </c>
    </row>
    <row r="15" spans="1:8" x14ac:dyDescent="0.35">
      <c r="A15" s="7" t="s">
        <v>262</v>
      </c>
      <c r="B15" s="7" t="s">
        <v>253</v>
      </c>
      <c r="D15" s="1" t="s">
        <v>71</v>
      </c>
      <c r="E15" s="2">
        <v>16</v>
      </c>
      <c r="G15" s="2" t="s">
        <v>268</v>
      </c>
      <c r="H15" s="2">
        <v>4</v>
      </c>
    </row>
    <row r="16" spans="1:8" x14ac:dyDescent="0.35">
      <c r="A16" s="7" t="s">
        <v>263</v>
      </c>
      <c r="B16" s="7" t="s">
        <v>253</v>
      </c>
      <c r="D16" s="1" t="s">
        <v>127</v>
      </c>
      <c r="E16" s="2">
        <v>17</v>
      </c>
      <c r="G16" s="2" t="s">
        <v>270</v>
      </c>
      <c r="H16" s="2">
        <v>4</v>
      </c>
    </row>
    <row r="17" spans="1:8" x14ac:dyDescent="0.35">
      <c r="A17" s="7" t="s">
        <v>270</v>
      </c>
      <c r="B17" s="7" t="s">
        <v>253</v>
      </c>
      <c r="D17" s="1" t="s">
        <v>104</v>
      </c>
      <c r="E17" s="2">
        <v>18</v>
      </c>
      <c r="G17" s="2" t="s">
        <v>252</v>
      </c>
      <c r="H17" s="2">
        <v>3</v>
      </c>
    </row>
    <row r="18" spans="1:8" x14ac:dyDescent="0.35">
      <c r="A18" s="7" t="s">
        <v>254</v>
      </c>
      <c r="B18" s="7" t="s">
        <v>253</v>
      </c>
      <c r="D18" s="1" t="s">
        <v>77</v>
      </c>
      <c r="E18" s="2">
        <v>19</v>
      </c>
      <c r="G18" s="2" t="s">
        <v>269</v>
      </c>
      <c r="H18" s="2">
        <v>3</v>
      </c>
    </row>
    <row r="19" spans="1:8" x14ac:dyDescent="0.35">
      <c r="A19" s="7" t="s">
        <v>265</v>
      </c>
      <c r="B19" s="7" t="s">
        <v>253</v>
      </c>
      <c r="D19" s="1" t="s">
        <v>130</v>
      </c>
      <c r="E19" s="2">
        <v>20</v>
      </c>
      <c r="G19" s="2" t="s">
        <v>260</v>
      </c>
      <c r="H19" s="2">
        <v>2</v>
      </c>
    </row>
    <row r="20" spans="1:8" x14ac:dyDescent="0.35">
      <c r="A20" s="7" t="s">
        <v>267</v>
      </c>
      <c r="B20" s="7" t="s">
        <v>253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271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89BE2C-0FFF-4390-9E78-D618C70A35A4}">
  <ds:schemaRefs>
    <ds:schemaRef ds:uri="dc74d1ae-670c-41ed-9896-4cba0109067e"/>
    <ds:schemaRef ds:uri="37513636-cd07-4f62-aa39-05d899fa6391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sharepoint/v3/fields"/>
    <ds:schemaRef ds:uri="http://purl.org/dc/elements/1.1/"/>
    <ds:schemaRef ds:uri="721dfc99-fedf-49dc-96e4-8b6946f0e489"/>
    <ds:schemaRef ds:uri="http://schemas.microsoft.com/sharepoint/v3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2026-07-06T03:20:01Z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