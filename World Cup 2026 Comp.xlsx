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ak.Powar\Downloads\app (1)\"/>
    </mc:Choice>
  </mc:AlternateContent>
  <xr:revisionPtr revIDLastSave="0" documentId="13_ncr:1_{F6C0FE2E-98DA-4227-A661-01E0FF292D3F}" xr6:coauthVersionLast="47" xr6:coauthVersionMax="47" xr10:uidLastSave="{00000000-0000-0000-0000-000000000000}"/>
  <bookViews>
    <workbookView xWindow="-25590" yWindow="-21720" windowWidth="38640" windowHeight="211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96" i="1" l="1"/>
  <c r="G97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99" i="1"/>
  <c r="G99" i="1"/>
  <c r="H98" i="1"/>
  <c r="G98" i="1"/>
  <c r="H97" i="1"/>
  <c r="H96" i="1"/>
  <c r="G96" i="1"/>
  <c r="H95" i="1"/>
  <c r="G95" i="1"/>
  <c r="H94" i="1"/>
  <c r="G94" i="1"/>
  <c r="H93" i="1"/>
  <c r="G93" i="1"/>
  <c r="H9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/>
  <c r="O77" i="1"/>
  <c r="Q77" i="1"/>
  <c r="O78" i="1"/>
  <c r="Q78" i="1"/>
  <c r="O79" i="1"/>
  <c r="Q79" i="1"/>
  <c r="O80" i="1"/>
  <c r="O81" i="1"/>
  <c r="O82" i="1"/>
  <c r="O83" i="1"/>
  <c r="O84" i="1"/>
  <c r="O85" i="1"/>
  <c r="O86" i="1"/>
  <c r="O87" i="1"/>
  <c r="O88" i="1"/>
  <c r="Q88" i="1"/>
  <c r="O89" i="1"/>
  <c r="O90" i="1"/>
  <c r="Q90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/>
  <c r="AG110" i="1"/>
  <c r="W110" i="1"/>
  <c r="Y110" i="1"/>
  <c r="AO110" i="1"/>
  <c r="AW110" i="1"/>
  <c r="AA110" i="1"/>
  <c r="O110" i="1"/>
  <c r="U110" i="1"/>
  <c r="AU110" i="1"/>
  <c r="AC110" i="1"/>
  <c r="AE110" i="1"/>
  <c r="Q110" i="1"/>
  <c r="AI110" i="1"/>
  <c r="AQ110" i="1"/>
  <c r="AM110" i="1"/>
  <c r="M110" i="1"/>
  <c r="AK110" i="1"/>
  <c r="S110" i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M111" i="1"/>
  <c r="AQ111" i="1"/>
  <c r="AW111" i="1"/>
  <c r="AO111" i="1"/>
  <c r="AS111" i="1"/>
  <c r="AI111" i="1"/>
  <c r="AE74" i="1"/>
  <c r="AE111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/>
  <c r="Y111" i="1"/>
  <c r="U74" i="1"/>
  <c r="U111" i="1"/>
  <c r="W74" i="1"/>
  <c r="W111" i="1"/>
  <c r="AG74" i="1"/>
  <c r="AG111" i="1"/>
  <c r="AK74" i="1"/>
  <c r="AK111" i="1"/>
  <c r="M74" i="1"/>
  <c r="M111" i="1"/>
  <c r="AA74" i="1"/>
  <c r="AA111" i="1"/>
  <c r="AC74" i="1"/>
  <c r="AC111" i="1"/>
  <c r="Q74" i="1"/>
  <c r="Q111" i="1"/>
  <c r="O74" i="1"/>
  <c r="O111" i="1"/>
  <c r="S74" i="1"/>
  <c r="S111" i="1"/>
  <c r="AU2" i="1"/>
  <c r="AU74" i="1"/>
  <c r="AU111" i="1"/>
</calcChain>
</file>

<file path=xl/sharedStrings.xml><?xml version="1.0" encoding="utf-8"?>
<sst xmlns="http://schemas.openxmlformats.org/spreadsheetml/2006/main" count="2570" uniqueCount="273">
  <si>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</si>
  <si>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</si>
  <si>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</si>
  <si>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</si>
  <si>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</si>
  <si>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</si>
  <si>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</si>
  <si>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</si>
  <si>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</si>
  <si>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</si>
  <si>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</si>
  <si>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</si>
  <si>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</si>
  <si>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</si>
  <si>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</si>
  <si>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</si>
  <si>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</si>
  <si>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</si>
  <si>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</si>
  <si>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</si>
  <si>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</si>
  <si>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</si>
  <si>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</si>
  <si>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</si>
  <si>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</si>
  <si>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</si>
  <si>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</si>
  <si>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</si>
  <si>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</si>
  <si>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</si>
  <si>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</si>
  <si>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</si>
  <si>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</si>
  <si>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</si>
  <si>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</si>
  <si>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</si>
  <si>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</si>
  <si>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</si>
  <si>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</si>
  <si>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</si>
  <si>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</si>
  <si>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</si>
  <si>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</si>
  <si>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</si>
  <si>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</si>
  <si>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</si>
  <si>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</si>
  <si>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</si>
  <si>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</si>
  <si>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</si>
  <si>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</si>
  <si>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</si>
  <si>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</si>
  <si>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</si>
  <si>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</si>
  <si>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</si>
  <si>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</si>
  <si>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</si>
  <si>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</si>
  <si>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</si>
  <si>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</si>
  <si>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</si>
  <si>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</si>
  <si>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</si>
  <si>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</si>
  <si>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</si>
  <si>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</si>
  <si>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</si>
  <si>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</si>
  <si>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</si>
  <si>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</si>
  <si>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</si>
  <si>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</si>
  <si>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</si>
  <si>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</si>
  <si>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</si>
  <si>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</si>
  <si>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</si>
  <si>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</si>
  <si>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</si>
  <si>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</si>
  <si>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</si>
  <si>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</si>
  <si>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</si>
  <si>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</si>
  <si>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</si>
  <si>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</si>
  <si>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</si>
  <si>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</si>
  <si>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</si>
  <si>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</si>
  <si>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</si>
  <si>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</si>
  <si>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</si>
  <si>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</si>
  <si>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</si>
  <si>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</si>
  <si>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</si>
  <si>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</si>
  <si>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</si>
  <si>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</si>
  <si>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</si>
  <si>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</si>
  <si>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</si>
  <si>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</si>
  <si>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</si>
  <si>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</si>
  <si>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</si>
  <si>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</si>
  <si>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</si>
  <si>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</si>
  <si>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</si>
  <si>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</si>
  <si>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</si>
  <si>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</si>
  <si>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</si>
  <si>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</si>
  <si>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</si>
  <si>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</si>
  <si>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</si>
  <si>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</si>
  <si>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</si>
  <si>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</si>
  <si>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</si>
  <si>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</si>
  <si>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</si>
  <si>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</si>
  <si>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</si>
  <si>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</si>
  <si>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</si>
  <si>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</si>
  <si>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</si>
  <si>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</si>
  <si>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</si>
  <si>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</si>
  <si>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</si>
  <si>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</si>
  <si>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</si>
  <si>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</si>
  <si>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</si>
  <si>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</si>
  <si>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</si>
  <si>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</si>
  <si>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</si>
  <si>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</si>
  <si>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</si>
  <si>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</si>
  <si>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</si>
  <si>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</si>
  <si>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</si>
  <si>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</si>
  <si>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</si>
  <si>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</si>
  <si>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</si>
  <si>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</si>
  <si>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</si>
  <si>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</si>
  <si>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</si>
  <si>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</si>
  <si>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</si>
  <si>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</si>
  <si>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</si>
  <si>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</si>
  <si>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</si>
  <si>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</si>
  <si>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</si>
  <si>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</si>
  <si>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</si>
  <si>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</si>
  <si>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</si>
  <si>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</si>
  <si>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</si>
  <si>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</si>
  <si>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</si>
  <si>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</si>
  <si>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</si>
  <si>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</si>
  <si>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</si>
  <si>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</si>
  <si>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</si>
  <si>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</si>
  <si>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</si>
  <si>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</si>
  <si>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</si>
  <si>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</si>
  <si>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</si>
  <si>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</si>
  <si>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</si>
  <si>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</si>
  <si>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</si>
  <si>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</si>
  <si>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</si>
  <si>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</si>
  <si>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</si>
  <si>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</si>
  <si>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</si>
  <si>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</si>
  <si>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</si>
  <si>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</si>
  <si>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</si>
  <si>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</si>
  <si>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</si>
  <si>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</si>
  <si>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</si>
  <si>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</si>
  <si>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</si>
  <si>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</si>
  <si>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</si>
  <si>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</si>
  <si>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</si>
  <si>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</si>
  <si>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</si>
  <si>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</si>
  <si>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</si>
  <si>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</si>
  <si>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</si>
  <si>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</si>
  <si>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</si>
  <si>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</si>
  <si>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</si>
  <si>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</si>
  <si>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</si>
  <si>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Argentia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</si>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</sst>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1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2" fillId="0" borderId="7" xfId="0" applyNumberFormat="1" applyFont="1" applyBorder="1" applyAlignment="1">
      <alignment horizontal="center" wrapText="1"/>
    </xf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164" fontId="4" fillId="0" borderId="8" xfId="0" applyNumberFormat="1" applyFont="1" applyBorder="1" applyAlignment="1">
      <alignment wrapText="1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K48" activePane="bottomRight" state="frozen"/>
      <selection pane="topRight" activeCell="L1" sqref="L1"/>
      <selection pane="bottomLeft" activeCell="A2" sqref="A2"/>
      <selection pane="bottomRight" activeCell="H96" sqref="H96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bestFit="1" customWidth="1"/>
    <col min="5" max="5" width="23.453125" style="10" bestFit="1" customWidth="1"/>
    <col min="6" max="6" width="6.81640625" style="6" bestFit="1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5.179687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21"/>
      <c r="F74" s="22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20" t="s">
        <v>200</v>
      </c>
      <c r="E75" s="18" t="s">
        <v>201</v>
      </c>
      <c r="F75" s="19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3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20" t="s">
        <v>203</v>
      </c>
      <c r="E76" s="18" t="s">
        <v>204</v>
      </c>
      <c r="F76" s="19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 x14ac:dyDescent="0.35">
      <c r="C77" s="1" t="s">
        <v>199</v>
      </c>
      <c r="D77" s="20" t="s">
        <v>205</v>
      </c>
      <c r="E77" s="18" t="s">
        <v>204</v>
      </c>
      <c r="F77" s="19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 x14ac:dyDescent="0.35">
      <c r="C78" s="1" t="s">
        <v>199</v>
      </c>
      <c r="D78" s="20" t="s">
        <v>206</v>
      </c>
      <c r="E78" s="18" t="s">
        <v>204</v>
      </c>
      <c r="F78" s="19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 x14ac:dyDescent="0.35">
      <c r="C79" s="1" t="s">
        <v>199</v>
      </c>
      <c r="D79" s="20" t="s">
        <v>207</v>
      </c>
      <c r="E79" s="18" t="s">
        <v>208</v>
      </c>
      <c r="F79" s="19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 x14ac:dyDescent="0.35">
      <c r="C80" s="1" t="s">
        <v>199</v>
      </c>
      <c r="D80" s="20" t="s">
        <v>209</v>
      </c>
      <c r="E80" s="18" t="s">
        <v>208</v>
      </c>
      <c r="F80" s="19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 x14ac:dyDescent="0.35">
      <c r="C81" s="1" t="s">
        <v>199</v>
      </c>
      <c r="D81" s="20" t="s">
        <v>210</v>
      </c>
      <c r="E81" s="18" t="s">
        <v>208</v>
      </c>
      <c r="F81" s="19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 x14ac:dyDescent="0.35">
      <c r="C82" s="1" t="s">
        <v>199</v>
      </c>
      <c r="D82" s="20" t="s">
        <v>211</v>
      </c>
      <c r="E82" s="18" t="s">
        <v>212</v>
      </c>
      <c r="F82" s="19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 x14ac:dyDescent="0.35">
      <c r="C83" s="1" t="s">
        <v>199</v>
      </c>
      <c r="D83" s="20" t="s">
        <v>213</v>
      </c>
      <c r="E83" s="18" t="s">
        <v>212</v>
      </c>
      <c r="F83" s="19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" x14ac:dyDescent="0.35">
      <c r="C84" s="1" t="s">
        <v>199</v>
      </c>
      <c r="D84" s="20" t="s">
        <v>214</v>
      </c>
      <c r="E84" s="18" t="s">
        <v>212</v>
      </c>
      <c r="F84" s="19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5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 x14ac:dyDescent="0.35">
      <c r="C85" s="1" t="s">
        <v>199</v>
      </c>
      <c r="D85" s="20" t="s">
        <v>215</v>
      </c>
      <c r="E85" s="18" t="s">
        <v>216</v>
      </c>
      <c r="F85" s="19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 x14ac:dyDescent="0.35">
      <c r="C86" s="1" t="s">
        <v>199</v>
      </c>
      <c r="D86" s="20" t="s">
        <v>217</v>
      </c>
      <c r="E86" s="18" t="s">
        <v>216</v>
      </c>
      <c r="F86" s="19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 x14ac:dyDescent="0.35">
      <c r="C87" s="1" t="s">
        <v>199</v>
      </c>
      <c r="D87" s="20" t="s">
        <v>218</v>
      </c>
      <c r="E87" s="18" t="s">
        <v>216</v>
      </c>
      <c r="F87" s="19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L87" s="6" t="s">
        <v>139</v>
      </c>
      <c r="M87" s="1" t="str">
        <f t="shared" si="19"/>
        <v>TBP</v>
      </c>
      <c r="N87" s="8" t="s">
        <v>77</v>
      </c>
      <c r="O87" s="1" t="str">
        <f t="shared" si="38"/>
        <v>TBP</v>
      </c>
      <c r="P87" s="1" t="s">
        <v>77</v>
      </c>
      <c r="Q87" s="1" t="str">
        <f t="shared" si="39"/>
        <v>TBP</v>
      </c>
      <c r="R87" s="8" t="s">
        <v>77</v>
      </c>
      <c r="S87" s="6" t="str">
        <f t="shared" si="40"/>
        <v>TBP</v>
      </c>
      <c r="T87" s="1" t="s">
        <v>139</v>
      </c>
      <c r="U87" s="6" t="str">
        <f t="shared" si="41"/>
        <v>TBP</v>
      </c>
      <c r="V87" s="6" t="s">
        <v>77</v>
      </c>
      <c r="W87" s="6" t="str">
        <f t="shared" si="42"/>
        <v>TBP</v>
      </c>
      <c r="X87" s="6" t="s">
        <v>77</v>
      </c>
      <c r="Y87" s="6" t="str">
        <f t="shared" si="43"/>
        <v>TBP</v>
      </c>
      <c r="Z87" s="8" t="s">
        <v>77</v>
      </c>
      <c r="AA87" s="6" t="str">
        <f t="shared" si="44"/>
        <v>TBP</v>
      </c>
      <c r="AB87" s="6" t="s">
        <v>77</v>
      </c>
      <c r="AC87" s="6" t="str">
        <f t="shared" si="45"/>
        <v>TBP</v>
      </c>
      <c r="AD87" s="8" t="s">
        <v>77</v>
      </c>
      <c r="AE87" s="6" t="str">
        <f t="shared" si="46"/>
        <v>TBP</v>
      </c>
      <c r="AF87" s="6" t="s">
        <v>139</v>
      </c>
      <c r="AG87" s="6" t="str">
        <f t="shared" si="47"/>
        <v>TBP</v>
      </c>
      <c r="AH87" s="6" t="s">
        <v>77</v>
      </c>
      <c r="AI87" s="6" t="str">
        <f t="shared" si="48"/>
        <v>TBP</v>
      </c>
      <c r="AJ87" s="6" t="s">
        <v>77</v>
      </c>
      <c r="AK87" s="6" t="str">
        <f t="shared" si="49"/>
        <v>TBP</v>
      </c>
      <c r="AL87" s="6" t="s">
        <v>77</v>
      </c>
      <c r="AM87" s="6" t="str">
        <f t="shared" si="50"/>
        <v>TBP</v>
      </c>
      <c r="AN87" s="6" t="s">
        <v>77</v>
      </c>
      <c r="AO87" s="6" t="str">
        <f t="shared" si="51"/>
        <v>TBP</v>
      </c>
      <c r="AP87" s="6" t="s">
        <v>139</v>
      </c>
      <c r="AQ87" s="6" t="str">
        <f t="shared" si="52"/>
        <v>TBP</v>
      </c>
      <c r="AR87" s="6" t="s">
        <v>77</v>
      </c>
      <c r="AS87" s="6" t="str">
        <f t="shared" si="53"/>
        <v>TBP</v>
      </c>
      <c r="AT87" s="6" t="s">
        <v>77</v>
      </c>
      <c r="AU87" s="6" t="str">
        <f t="shared" si="54"/>
        <v>TBP</v>
      </c>
      <c r="AV87" s="8" t="s">
        <v>77</v>
      </c>
      <c r="AW87" s="6" t="str">
        <f t="shared" si="55"/>
        <v>TBP</v>
      </c>
    </row>
    <row r="88" spans="3:49" x14ac:dyDescent="0.35">
      <c r="C88" s="1" t="s">
        <v>199</v>
      </c>
      <c r="D88" s="20" t="s">
        <v>219</v>
      </c>
      <c r="E88" s="18" t="s">
        <v>220</v>
      </c>
      <c r="F88" s="19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L88" s="6" t="s">
        <v>92</v>
      </c>
      <c r="M88" s="1" t="str">
        <f t="shared" si="19"/>
        <v>TBP</v>
      </c>
      <c r="N88" s="6" t="s">
        <v>123</v>
      </c>
      <c r="O88" s="1" t="str">
        <f t="shared" si="38"/>
        <v>TBP</v>
      </c>
      <c r="P88" s="1" t="s">
        <v>123</v>
      </c>
      <c r="Q88" s="1" t="str">
        <f t="shared" si="39"/>
        <v>TBP</v>
      </c>
      <c r="R88" s="8" t="s">
        <v>92</v>
      </c>
      <c r="S88" s="6" t="str">
        <f t="shared" si="40"/>
        <v>TBP</v>
      </c>
      <c r="T88" s="1" t="s">
        <v>123</v>
      </c>
      <c r="U88" s="6" t="str">
        <f t="shared" si="41"/>
        <v>TBP</v>
      </c>
      <c r="V88" s="6" t="s">
        <v>92</v>
      </c>
      <c r="W88" s="6" t="str">
        <f t="shared" si="42"/>
        <v>TBP</v>
      </c>
      <c r="X88" s="6" t="s">
        <v>92</v>
      </c>
      <c r="Y88" s="6" t="str">
        <f t="shared" si="43"/>
        <v>TBP</v>
      </c>
      <c r="Z88" s="1" t="s">
        <v>123</v>
      </c>
      <c r="AA88" s="6" t="str">
        <f t="shared" si="44"/>
        <v>TBP</v>
      </c>
      <c r="AB88" s="1" t="s">
        <v>123</v>
      </c>
      <c r="AC88" s="6" t="str">
        <f t="shared" si="45"/>
        <v>TBP</v>
      </c>
      <c r="AD88" s="6" t="s">
        <v>123</v>
      </c>
      <c r="AE88" s="6" t="str">
        <f t="shared" si="46"/>
        <v>TBP</v>
      </c>
      <c r="AF88" s="6" t="s">
        <v>123</v>
      </c>
      <c r="AG88" s="6" t="str">
        <f t="shared" si="47"/>
        <v>TBP</v>
      </c>
      <c r="AH88" s="6" t="s">
        <v>123</v>
      </c>
      <c r="AI88" s="6" t="str">
        <f t="shared" si="48"/>
        <v>TBP</v>
      </c>
      <c r="AJ88" s="6" t="s">
        <v>123</v>
      </c>
      <c r="AK88" s="6" t="str">
        <f t="shared" si="49"/>
        <v>TBP</v>
      </c>
      <c r="AL88" s="6" t="s">
        <v>123</v>
      </c>
      <c r="AM88" s="6" t="str">
        <f t="shared" si="50"/>
        <v>TBP</v>
      </c>
      <c r="AN88" s="6" t="s">
        <v>123</v>
      </c>
      <c r="AO88" s="6" t="str">
        <f t="shared" si="51"/>
        <v>TBP</v>
      </c>
      <c r="AP88" s="6" t="s">
        <v>123</v>
      </c>
      <c r="AQ88" s="6" t="str">
        <f t="shared" si="52"/>
        <v>TBP</v>
      </c>
      <c r="AR88" s="6" t="s">
        <v>123</v>
      </c>
      <c r="AS88" s="6" t="str">
        <f t="shared" si="53"/>
        <v>TBP</v>
      </c>
      <c r="AT88" s="6" t="s">
        <v>123</v>
      </c>
      <c r="AU88" s="6" t="str">
        <f t="shared" si="54"/>
        <v>TBP</v>
      </c>
      <c r="AV88" s="6" t="s">
        <v>92</v>
      </c>
      <c r="AW88" s="6" t="str">
        <f t="shared" si="55"/>
        <v>TBP</v>
      </c>
    </row>
    <row r="89" spans="3:49" x14ac:dyDescent="0.35">
      <c r="C89" s="1" t="s">
        <v>199</v>
      </c>
      <c r="D89" s="20" t="s">
        <v>221</v>
      </c>
      <c r="E89" s="18" t="s">
        <v>220</v>
      </c>
      <c r="F89" s="19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L89" s="8" t="s">
        <v>48</v>
      </c>
      <c r="M89" s="1" t="str">
        <f t="shared" si="19"/>
        <v>TBP</v>
      </c>
      <c r="N89" s="6" t="s">
        <v>48</v>
      </c>
      <c r="O89" s="1" t="str">
        <f t="shared" si="38"/>
        <v>TBP</v>
      </c>
      <c r="P89" s="1" t="s">
        <v>222</v>
      </c>
      <c r="Q89" s="1" t="str">
        <f t="shared" si="39"/>
        <v>TBP</v>
      </c>
      <c r="R89" s="8" t="s">
        <v>48</v>
      </c>
      <c r="S89" s="6" t="str">
        <f t="shared" si="40"/>
        <v>TBP</v>
      </c>
      <c r="T89" s="8" t="s">
        <v>48</v>
      </c>
      <c r="U89" s="6" t="str">
        <f t="shared" si="41"/>
        <v>TBP</v>
      </c>
      <c r="V89" s="6" t="s">
        <v>48</v>
      </c>
      <c r="W89" s="6" t="str">
        <f t="shared" si="42"/>
        <v>TBP</v>
      </c>
      <c r="X89" s="6" t="s">
        <v>48</v>
      </c>
      <c r="Y89" s="6" t="str">
        <f t="shared" si="43"/>
        <v>TBP</v>
      </c>
      <c r="Z89" s="8" t="s">
        <v>48</v>
      </c>
      <c r="AA89" s="6" t="str">
        <f t="shared" si="44"/>
        <v>TBP</v>
      </c>
      <c r="AB89" s="6" t="s">
        <v>48</v>
      </c>
      <c r="AC89" s="6" t="str">
        <f t="shared" si="45"/>
        <v>TBP</v>
      </c>
      <c r="AD89" s="6" t="s">
        <v>48</v>
      </c>
      <c r="AE89" s="6" t="str">
        <f t="shared" si="46"/>
        <v>TBP</v>
      </c>
      <c r="AF89" s="6" t="s">
        <v>48</v>
      </c>
      <c r="AG89" s="6" t="str">
        <f t="shared" si="47"/>
        <v>TBP</v>
      </c>
      <c r="AH89" s="6" t="s">
        <v>48</v>
      </c>
      <c r="AI89" s="6" t="str">
        <f t="shared" si="48"/>
        <v>TBP</v>
      </c>
      <c r="AJ89" s="6" t="s">
        <v>48</v>
      </c>
      <c r="AK89" s="6" t="str">
        <f t="shared" si="49"/>
        <v>TBP</v>
      </c>
      <c r="AL89" s="6" t="s">
        <v>48</v>
      </c>
      <c r="AM89" s="6" t="str">
        <f t="shared" si="50"/>
        <v>TBP</v>
      </c>
      <c r="AN89" s="6" t="s">
        <v>48</v>
      </c>
      <c r="AO89" s="6" t="str">
        <f t="shared" si="51"/>
        <v>TBP</v>
      </c>
      <c r="AP89" s="6" t="s">
        <v>48</v>
      </c>
      <c r="AQ89" s="6" t="str">
        <f t="shared" si="52"/>
        <v>TBP</v>
      </c>
      <c r="AR89" s="6" t="s">
        <v>48</v>
      </c>
      <c r="AS89" s="6" t="str">
        <f t="shared" si="53"/>
        <v>TBP</v>
      </c>
      <c r="AT89" s="6" t="s">
        <v>48</v>
      </c>
      <c r="AU89" s="6" t="str">
        <f t="shared" si="54"/>
        <v>TBP</v>
      </c>
      <c r="AV89" s="6" t="s">
        <v>48</v>
      </c>
      <c r="AW89" s="6" t="str">
        <f t="shared" si="55"/>
        <v>TBP</v>
      </c>
    </row>
    <row r="90" spans="3:49" x14ac:dyDescent="0.35">
      <c r="C90" s="1" t="s">
        <v>199</v>
      </c>
      <c r="D90" s="20" t="s">
        <v>223</v>
      </c>
      <c r="E90" s="18" t="s">
        <v>220</v>
      </c>
      <c r="F90" s="19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L90" s="6" t="s">
        <v>151</v>
      </c>
      <c r="M90" s="1" t="str">
        <f t="shared" si="19"/>
        <v>TBP</v>
      </c>
      <c r="N90" s="8" t="s">
        <v>111</v>
      </c>
      <c r="O90" s="1" t="str">
        <f t="shared" si="38"/>
        <v>TBP</v>
      </c>
      <c r="P90" s="1" t="s">
        <v>111</v>
      </c>
      <c r="Q90" s="1" t="str">
        <f t="shared" si="39"/>
        <v>TBP</v>
      </c>
      <c r="R90" s="8" t="s">
        <v>111</v>
      </c>
      <c r="S90" s="6" t="str">
        <f t="shared" si="40"/>
        <v>TBP</v>
      </c>
      <c r="T90" s="1" t="s">
        <v>151</v>
      </c>
      <c r="U90" s="6" t="str">
        <f t="shared" si="41"/>
        <v>TBP</v>
      </c>
      <c r="V90" s="6" t="s">
        <v>111</v>
      </c>
      <c r="W90" s="6" t="str">
        <f t="shared" si="42"/>
        <v>TBP</v>
      </c>
      <c r="X90" s="6" t="s">
        <v>111</v>
      </c>
      <c r="Y90" s="6" t="str">
        <f t="shared" si="43"/>
        <v>TBP</v>
      </c>
      <c r="Z90" s="8" t="s">
        <v>111</v>
      </c>
      <c r="AA90" s="6" t="str">
        <f t="shared" si="44"/>
        <v>TBP</v>
      </c>
      <c r="AB90" s="6" t="s">
        <v>111</v>
      </c>
      <c r="AC90" s="6" t="str">
        <f t="shared" si="45"/>
        <v>TBP</v>
      </c>
      <c r="AD90" s="8" t="s">
        <v>111</v>
      </c>
      <c r="AE90" s="6" t="str">
        <f t="shared" si="46"/>
        <v>TBP</v>
      </c>
      <c r="AF90" s="6" t="s">
        <v>111</v>
      </c>
      <c r="AG90" s="6" t="str">
        <f t="shared" si="47"/>
        <v>TBP</v>
      </c>
      <c r="AH90" s="6" t="s">
        <v>111</v>
      </c>
      <c r="AI90" s="6" t="str">
        <f t="shared" si="48"/>
        <v>TBP</v>
      </c>
      <c r="AJ90" s="6" t="s">
        <v>111</v>
      </c>
      <c r="AK90" s="6" t="str">
        <f t="shared" si="49"/>
        <v>TBP</v>
      </c>
      <c r="AL90" s="6" t="s">
        <v>111</v>
      </c>
      <c r="AM90" s="6" t="str">
        <f t="shared" si="50"/>
        <v>TBP</v>
      </c>
      <c r="AN90" s="6" t="s">
        <v>111</v>
      </c>
      <c r="AO90" s="6" t="str">
        <f t="shared" si="51"/>
        <v>TBP</v>
      </c>
      <c r="AP90" s="6" t="s">
        <v>151</v>
      </c>
      <c r="AQ90" s="6" t="str">
        <f t="shared" si="52"/>
        <v>TBP</v>
      </c>
      <c r="AR90" s="6" t="s">
        <v>111</v>
      </c>
      <c r="AS90" s="6" t="str">
        <f t="shared" si="53"/>
        <v>TBP</v>
      </c>
      <c r="AT90" s="6" t="s">
        <v>111</v>
      </c>
      <c r="AU90" s="6" t="str">
        <f t="shared" si="54"/>
        <v>TBP</v>
      </c>
      <c r="AV90" s="8" t="s">
        <v>111</v>
      </c>
      <c r="AW90" s="6" t="str">
        <f t="shared" si="55"/>
        <v>TBP</v>
      </c>
    </row>
    <row r="91" spans="3:49" x14ac:dyDescent="0.35">
      <c r="C91" s="1"/>
      <c r="D91" s="1"/>
      <c r="E91" s="26"/>
      <c r="F91" s="29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224</v>
      </c>
      <c r="D92" s="20" t="s">
        <v>225</v>
      </c>
      <c r="E92" s="33">
        <v>46208</v>
      </c>
      <c r="F92" s="19">
        <v>0.20833333333333334</v>
      </c>
      <c r="G92" s="8" t="s">
        <v>64</v>
      </c>
      <c r="H92" s="1" t="str">
        <f>K78</f>
        <v>Morocco</v>
      </c>
      <c r="I92" s="1">
        <v>90</v>
      </c>
      <c r="J92" s="1" t="s">
        <v>101</v>
      </c>
      <c r="K92" s="1"/>
      <c r="L92" s="6" t="s">
        <v>83</v>
      </c>
      <c r="M92" s="1" t="str">
        <f t="shared" si="19"/>
        <v>TBP</v>
      </c>
      <c r="N92" s="6" t="s">
        <v>83</v>
      </c>
      <c r="O92" s="1" t="str">
        <f t="shared" si="38"/>
        <v>TBP</v>
      </c>
      <c r="P92" s="1" t="s">
        <v>83</v>
      </c>
      <c r="Q92" s="1" t="str">
        <f t="shared" si="39"/>
        <v>TBP</v>
      </c>
      <c r="R92" s="31" t="s">
        <v>83</v>
      </c>
      <c r="S92" s="6" t="str">
        <f t="shared" si="40"/>
        <v>TBP</v>
      </c>
      <c r="T92" s="6" t="s">
        <v>83</v>
      </c>
      <c r="U92" s="6" t="str">
        <f t="shared" si="41"/>
        <v>TBP</v>
      </c>
      <c r="V92" s="6" t="s">
        <v>83</v>
      </c>
      <c r="W92" s="6" t="str">
        <f t="shared" si="42"/>
        <v>TBP</v>
      </c>
      <c r="X92" s="6" t="s">
        <v>64</v>
      </c>
      <c r="Y92" s="6" t="str">
        <f t="shared" si="43"/>
        <v>TBP</v>
      </c>
      <c r="Z92" s="8" t="s">
        <v>64</v>
      </c>
      <c r="AA92" s="6" t="str">
        <f t="shared" si="44"/>
        <v>TBP</v>
      </c>
      <c r="AB92" s="6" t="s">
        <v>64</v>
      </c>
      <c r="AC92" s="6" t="str">
        <f t="shared" si="45"/>
        <v>TBP</v>
      </c>
      <c r="AD92" s="6" t="s">
        <v>83</v>
      </c>
      <c r="AE92" s="6" t="str">
        <f t="shared" si="46"/>
        <v>TBP</v>
      </c>
      <c r="AF92" s="6" t="s">
        <v>64</v>
      </c>
      <c r="AG92" s="6" t="str">
        <f t="shared" si="47"/>
        <v>TBP</v>
      </c>
      <c r="AH92" s="6" t="s">
        <v>64</v>
      </c>
      <c r="AI92" s="6" t="str">
        <f t="shared" si="48"/>
        <v>TBP</v>
      </c>
      <c r="AJ92" s="6" t="s">
        <v>83</v>
      </c>
      <c r="AK92" s="6" t="str">
        <f t="shared" si="49"/>
        <v>TBP</v>
      </c>
      <c r="AL92" s="6" t="s">
        <v>83</v>
      </c>
      <c r="AM92" s="6" t="str">
        <f t="shared" si="50"/>
        <v>TBP</v>
      </c>
      <c r="AN92" s="6" t="s">
        <v>83</v>
      </c>
      <c r="AO92" s="6" t="str">
        <f t="shared" si="51"/>
        <v>TBP</v>
      </c>
      <c r="AP92" s="6" t="s">
        <v>83</v>
      </c>
      <c r="AQ92" s="6" t="str">
        <f t="shared" si="52"/>
        <v>TBP</v>
      </c>
      <c r="AR92" s="6" t="s">
        <v>83</v>
      </c>
      <c r="AS92" s="6" t="str">
        <f t="shared" si="53"/>
        <v>TBP</v>
      </c>
      <c r="AT92" s="6" t="s">
        <v>83</v>
      </c>
      <c r="AU92" s="6" t="str">
        <f t="shared" si="54"/>
        <v>TBP</v>
      </c>
      <c r="AV92" s="6" t="s">
        <v>83</v>
      </c>
      <c r="AW92" s="6" t="str">
        <f t="shared" ref="AW92:AW108" si="56">IF(ISBLANK(K92),"TBP",IF(AV92=K92,"Matched","No Match"))</f>
        <v>TBP</v>
      </c>
    </row>
    <row r="93" spans="3:49" x14ac:dyDescent="0.35">
      <c r="C93" s="1" t="s">
        <v>224</v>
      </c>
      <c r="D93" s="20" t="s">
        <v>226</v>
      </c>
      <c r="E93" s="33">
        <v>46208</v>
      </c>
      <c r="F93" s="19">
        <v>0.375</v>
      </c>
      <c r="G93" s="8" t="str">
        <f>K77</f>
        <v>Paraguay</v>
      </c>
      <c r="H93" s="1" t="str">
        <f>K80</f>
        <v>France</v>
      </c>
      <c r="I93" s="1">
        <v>89</v>
      </c>
      <c r="J93" s="1" t="s">
        <v>110</v>
      </c>
      <c r="K93" s="1"/>
      <c r="L93" s="6" t="s">
        <v>60</v>
      </c>
      <c r="M93" s="1" t="str">
        <f t="shared" si="19"/>
        <v>TBP</v>
      </c>
      <c r="N93" s="6" t="s">
        <v>60</v>
      </c>
      <c r="O93" s="1" t="str">
        <f t="shared" si="38"/>
        <v>TBP</v>
      </c>
      <c r="P93" s="1" t="s">
        <v>60</v>
      </c>
      <c r="Q93" s="1" t="str">
        <f t="shared" si="39"/>
        <v>TBP</v>
      </c>
      <c r="R93" s="6" t="s">
        <v>60</v>
      </c>
      <c r="S93" s="6" t="str">
        <f t="shared" si="40"/>
        <v>TBP</v>
      </c>
      <c r="T93" s="6" t="s">
        <v>60</v>
      </c>
      <c r="U93" s="6" t="str">
        <f t="shared" si="41"/>
        <v>TBP</v>
      </c>
      <c r="V93" s="6" t="s">
        <v>60</v>
      </c>
      <c r="W93" s="6" t="str">
        <f t="shared" si="42"/>
        <v>TBP</v>
      </c>
      <c r="X93" s="6" t="s">
        <v>60</v>
      </c>
      <c r="Y93" s="6" t="str">
        <f t="shared" si="43"/>
        <v>TBP</v>
      </c>
      <c r="Z93" s="6" t="s">
        <v>60</v>
      </c>
      <c r="AA93" s="6" t="str">
        <f t="shared" si="44"/>
        <v>TBP</v>
      </c>
      <c r="AB93" s="6" t="s">
        <v>60</v>
      </c>
      <c r="AC93" s="6" t="str">
        <f t="shared" si="45"/>
        <v>TBP</v>
      </c>
      <c r="AD93" s="6" t="s">
        <v>60</v>
      </c>
      <c r="AE93" s="6" t="str">
        <f t="shared" si="46"/>
        <v>TBP</v>
      </c>
      <c r="AF93" s="6" t="s">
        <v>60</v>
      </c>
      <c r="AG93" s="6" t="str">
        <f t="shared" si="47"/>
        <v>TBP</v>
      </c>
      <c r="AH93" s="6" t="s">
        <v>60</v>
      </c>
      <c r="AI93" s="6" t="str">
        <f t="shared" si="48"/>
        <v>TBP</v>
      </c>
      <c r="AJ93" s="6" t="s">
        <v>60</v>
      </c>
      <c r="AK93" s="6" t="str">
        <f t="shared" si="49"/>
        <v>TBP</v>
      </c>
      <c r="AL93" s="6" t="s">
        <v>60</v>
      </c>
      <c r="AM93" s="6" t="str">
        <f t="shared" si="50"/>
        <v>TBP</v>
      </c>
      <c r="AN93" s="6" t="s">
        <v>60</v>
      </c>
      <c r="AO93" s="6" t="str">
        <f t="shared" si="51"/>
        <v>TBP</v>
      </c>
      <c r="AP93" s="6" t="s">
        <v>72</v>
      </c>
      <c r="AQ93" s="6" t="str">
        <f t="shared" si="52"/>
        <v>TBP</v>
      </c>
      <c r="AR93" s="6" t="s">
        <v>60</v>
      </c>
      <c r="AS93" s="6" t="str">
        <f t="shared" si="53"/>
        <v>TBP</v>
      </c>
      <c r="AT93" s="6" t="s">
        <v>60</v>
      </c>
      <c r="AU93" s="6" t="str">
        <f t="shared" si="54"/>
        <v>TBP</v>
      </c>
      <c r="AV93" s="6" t="s">
        <v>60</v>
      </c>
      <c r="AW93" s="6" t="str">
        <f t="shared" si="56"/>
        <v>TBP</v>
      </c>
    </row>
    <row r="94" spans="3:49" x14ac:dyDescent="0.35">
      <c r="C94" s="1" t="s">
        <v>224</v>
      </c>
      <c r="D94" s="20" t="s">
        <v>227</v>
      </c>
      <c r="E94" s="33">
        <v>46209</v>
      </c>
      <c r="F94" s="19">
        <v>0.33333333333333331</v>
      </c>
      <c r="G94" s="8" t="str">
        <f>K76</f>
        <v>Brazil</v>
      </c>
      <c r="H94" s="1" t="str">
        <f>K79</f>
        <v>Norway</v>
      </c>
      <c r="I94" s="1">
        <v>91</v>
      </c>
      <c r="J94" s="1" t="s">
        <v>84</v>
      </c>
      <c r="K94" s="1"/>
      <c r="L94" s="6" t="s">
        <v>79</v>
      </c>
      <c r="M94" s="1" t="str">
        <f t="shared" si="19"/>
        <v>TBP</v>
      </c>
      <c r="N94" s="6" t="s">
        <v>79</v>
      </c>
      <c r="O94" s="1" t="str">
        <f t="shared" si="38"/>
        <v>TBP</v>
      </c>
      <c r="P94" s="1" t="s">
        <v>79</v>
      </c>
      <c r="Q94" s="1" t="str">
        <f t="shared" si="39"/>
        <v>TBP</v>
      </c>
      <c r="R94" s="6" t="s">
        <v>79</v>
      </c>
      <c r="S94" s="6" t="str">
        <f t="shared" si="40"/>
        <v>TBP</v>
      </c>
      <c r="T94" s="6" t="s">
        <v>79</v>
      </c>
      <c r="U94" s="6" t="str">
        <f t="shared" si="41"/>
        <v>TBP</v>
      </c>
      <c r="V94" s="6" t="s">
        <v>79</v>
      </c>
      <c r="W94" s="6" t="str">
        <f t="shared" si="42"/>
        <v>TBP</v>
      </c>
      <c r="X94" s="6" t="s">
        <v>79</v>
      </c>
      <c r="Y94" s="6" t="str">
        <f t="shared" si="43"/>
        <v>TBP</v>
      </c>
      <c r="Z94" s="6" t="s">
        <v>79</v>
      </c>
      <c r="AA94" s="6" t="str">
        <f t="shared" si="44"/>
        <v>TBP</v>
      </c>
      <c r="AB94" s="6" t="s">
        <v>136</v>
      </c>
      <c r="AC94" s="6" t="str">
        <f t="shared" si="45"/>
        <v>TBP</v>
      </c>
      <c r="AD94" s="6" t="s">
        <v>79</v>
      </c>
      <c r="AE94" s="6" t="str">
        <f t="shared" si="46"/>
        <v>TBP</v>
      </c>
      <c r="AF94" s="6" t="s">
        <v>79</v>
      </c>
      <c r="AG94" s="6" t="str">
        <f t="shared" si="47"/>
        <v>TBP</v>
      </c>
      <c r="AH94" s="6" t="s">
        <v>136</v>
      </c>
      <c r="AI94" s="6" t="str">
        <f t="shared" si="48"/>
        <v>TBP</v>
      </c>
      <c r="AJ94" s="6" t="s">
        <v>79</v>
      </c>
      <c r="AK94" s="6" t="str">
        <f t="shared" si="49"/>
        <v>TBP</v>
      </c>
      <c r="AL94" s="6" t="s">
        <v>79</v>
      </c>
      <c r="AM94" s="6" t="str">
        <f t="shared" si="50"/>
        <v>TBP</v>
      </c>
      <c r="AN94" s="6" t="s">
        <v>79</v>
      </c>
      <c r="AO94" s="6" t="str">
        <f t="shared" si="51"/>
        <v>TBP</v>
      </c>
      <c r="AP94" s="6" t="s">
        <v>79</v>
      </c>
      <c r="AQ94" s="6" t="str">
        <f t="shared" si="52"/>
        <v>TBP</v>
      </c>
      <c r="AR94" s="6" t="s">
        <v>79</v>
      </c>
      <c r="AS94" s="6" t="str">
        <f t="shared" si="53"/>
        <v>TBP</v>
      </c>
      <c r="AT94" s="6" t="s">
        <v>79</v>
      </c>
      <c r="AU94" s="6" t="str">
        <f t="shared" si="54"/>
        <v>TBP</v>
      </c>
      <c r="AV94" s="6" t="s">
        <v>79</v>
      </c>
      <c r="AW94" s="6" t="str">
        <f t="shared" si="56"/>
        <v>TBP</v>
      </c>
    </row>
    <row r="95" spans="3:49" x14ac:dyDescent="0.35">
      <c r="C95" s="1" t="s">
        <v>224</v>
      </c>
      <c r="D95" s="20" t="s">
        <v>228</v>
      </c>
      <c r="E95" s="33">
        <v>46209</v>
      </c>
      <c r="F95" s="19">
        <v>0.5</v>
      </c>
      <c r="G95" s="8" t="str">
        <f>K81</f>
        <v>Mexico</v>
      </c>
      <c r="H95" s="1" t="str">
        <f>K82</f>
        <v>England</v>
      </c>
      <c r="I95" s="1">
        <v>92</v>
      </c>
      <c r="J95" s="1" t="s">
        <v>53</v>
      </c>
      <c r="K95" s="1"/>
      <c r="L95" s="6" t="s">
        <v>51</v>
      </c>
      <c r="M95" s="1" t="str">
        <f t="shared" si="19"/>
        <v>TBP</v>
      </c>
      <c r="N95" s="6" t="s">
        <v>51</v>
      </c>
      <c r="O95" s="1" t="str">
        <f t="shared" si="38"/>
        <v>TBP</v>
      </c>
      <c r="P95" s="1" t="s">
        <v>67</v>
      </c>
      <c r="Q95" s="1" t="str">
        <f t="shared" si="39"/>
        <v>TBP</v>
      </c>
      <c r="R95" s="6" t="s">
        <v>67</v>
      </c>
      <c r="S95" s="6" t="str">
        <f t="shared" si="40"/>
        <v>TBP</v>
      </c>
      <c r="T95" s="6" t="s">
        <v>51</v>
      </c>
      <c r="U95" s="6" t="str">
        <f t="shared" si="41"/>
        <v>TBP</v>
      </c>
      <c r="V95" s="6" t="s">
        <v>67</v>
      </c>
      <c r="W95" s="6" t="str">
        <f t="shared" si="42"/>
        <v>TBP</v>
      </c>
      <c r="X95" s="6" t="s">
        <v>67</v>
      </c>
      <c r="Y95" s="6" t="str">
        <f t="shared" si="43"/>
        <v>TBP</v>
      </c>
      <c r="Z95" s="6" t="s">
        <v>51</v>
      </c>
      <c r="AA95" s="6" t="str">
        <f t="shared" si="44"/>
        <v>TBP</v>
      </c>
      <c r="AB95" s="6" t="s">
        <v>67</v>
      </c>
      <c r="AC95" s="6" t="str">
        <f t="shared" si="45"/>
        <v>TBP</v>
      </c>
      <c r="AD95" s="6" t="s">
        <v>51</v>
      </c>
      <c r="AE95" s="6" t="str">
        <f t="shared" si="46"/>
        <v>TBP</v>
      </c>
      <c r="AF95" s="6" t="s">
        <v>67</v>
      </c>
      <c r="AG95" s="6" t="str">
        <f t="shared" si="47"/>
        <v>TBP</v>
      </c>
      <c r="AH95" s="6" t="s">
        <v>67</v>
      </c>
      <c r="AI95" s="6" t="str">
        <f t="shared" si="48"/>
        <v>TBP</v>
      </c>
      <c r="AJ95" s="6" t="s">
        <v>67</v>
      </c>
      <c r="AK95" s="6" t="str">
        <f t="shared" si="49"/>
        <v>TBP</v>
      </c>
      <c r="AL95" s="6" t="s">
        <v>51</v>
      </c>
      <c r="AM95" s="6" t="str">
        <f t="shared" si="50"/>
        <v>TBP</v>
      </c>
      <c r="AN95" s="6" t="s">
        <v>67</v>
      </c>
      <c r="AO95" s="6" t="str">
        <f t="shared" si="51"/>
        <v>TBP</v>
      </c>
      <c r="AP95" s="6" t="s">
        <v>51</v>
      </c>
      <c r="AQ95" s="6" t="str">
        <f t="shared" si="52"/>
        <v>TBP</v>
      </c>
      <c r="AR95" s="6" t="s">
        <v>51</v>
      </c>
      <c r="AS95" s="6" t="str">
        <f t="shared" si="53"/>
        <v>TBP</v>
      </c>
      <c r="AT95" s="6" t="s">
        <v>51</v>
      </c>
      <c r="AU95" s="6" t="str">
        <f t="shared" si="54"/>
        <v>TBP</v>
      </c>
      <c r="AV95" s="6" t="s">
        <v>67</v>
      </c>
      <c r="AW95" s="6" t="str">
        <f t="shared" si="56"/>
        <v>TBP</v>
      </c>
    </row>
    <row r="96" spans="3:49" x14ac:dyDescent="0.35">
      <c r="C96" s="1" t="s">
        <v>224</v>
      </c>
      <c r="D96" s="20" t="s">
        <v>229</v>
      </c>
      <c r="E96" s="33">
        <v>46210</v>
      </c>
      <c r="F96" s="19">
        <v>0.29166666666666669</v>
      </c>
      <c r="G96" s="8" t="str">
        <f>K86</f>
        <v>Portugal</v>
      </c>
      <c r="H96" s="1" t="str">
        <f>K85</f>
        <v>Spain</v>
      </c>
      <c r="I96" s="1">
        <v>93</v>
      </c>
      <c r="J96" s="1" t="s">
        <v>105</v>
      </c>
      <c r="K96" s="1"/>
      <c r="L96" s="6" t="s">
        <v>54</v>
      </c>
      <c r="M96" s="1" t="str">
        <f t="shared" si="19"/>
        <v>TBP</v>
      </c>
      <c r="N96" s="6" t="s">
        <v>54</v>
      </c>
      <c r="O96" s="1" t="str">
        <f t="shared" si="38"/>
        <v>TBP</v>
      </c>
      <c r="P96" s="1" t="s">
        <v>54</v>
      </c>
      <c r="Q96" s="1" t="str">
        <f t="shared" si="39"/>
        <v>TBP</v>
      </c>
      <c r="R96" s="6" t="s">
        <v>74</v>
      </c>
      <c r="S96" s="6" t="str">
        <f t="shared" si="40"/>
        <v>TBP</v>
      </c>
      <c r="T96" s="1" t="s">
        <v>54</v>
      </c>
      <c r="U96" s="6" t="str">
        <f t="shared" si="41"/>
        <v>TBP</v>
      </c>
      <c r="V96" s="6" t="s">
        <v>54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B96" s="32" t="s">
        <v>74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H96" s="6" t="s">
        <v>54</v>
      </c>
      <c r="AI96" s="6" t="str">
        <f t="shared" si="48"/>
        <v>TBP</v>
      </c>
      <c r="AJ96" s="32" t="str">
        <f>AN86</f>
        <v>Portugal</v>
      </c>
      <c r="AK96" s="6" t="str">
        <f t="shared" si="49"/>
        <v>TBP</v>
      </c>
      <c r="AL96" s="6" t="s">
        <v>54</v>
      </c>
      <c r="AM96" s="6" t="str">
        <f t="shared" si="50"/>
        <v>TBP</v>
      </c>
      <c r="AN96" s="6" t="s">
        <v>54</v>
      </c>
      <c r="AO96" s="6" t="str">
        <f t="shared" si="51"/>
        <v>TBP</v>
      </c>
      <c r="AP96" s="6" t="s">
        <v>74</v>
      </c>
      <c r="AQ96" s="6" t="str">
        <f t="shared" si="52"/>
        <v>TBP</v>
      </c>
      <c r="AR96" s="6" t="s">
        <v>54</v>
      </c>
      <c r="AS96" s="6" t="str">
        <f t="shared" si="53"/>
        <v>TBP</v>
      </c>
      <c r="AT96" s="6" t="s">
        <v>54</v>
      </c>
      <c r="AU96" s="6" t="str">
        <f t="shared" si="54"/>
        <v>TBP</v>
      </c>
      <c r="AV96" s="6" t="s">
        <v>54</v>
      </c>
      <c r="AW96" s="6" t="str">
        <f t="shared" si="56"/>
        <v>TBP</v>
      </c>
    </row>
    <row r="97" spans="3:49" x14ac:dyDescent="0.35">
      <c r="C97" s="1" t="s">
        <v>224</v>
      </c>
      <c r="D97" s="20" t="s">
        <v>230</v>
      </c>
      <c r="E97" s="33">
        <v>46210</v>
      </c>
      <c r="F97" s="19">
        <v>0.5</v>
      </c>
      <c r="G97" s="8" t="str">
        <f>K84</f>
        <v>United States</v>
      </c>
      <c r="H97" s="1" t="str">
        <f>K83</f>
        <v>Belgium</v>
      </c>
      <c r="I97" s="1">
        <v>94</v>
      </c>
      <c r="J97" s="1" t="s">
        <v>124</v>
      </c>
      <c r="K97" s="1"/>
      <c r="L97" s="6" t="s">
        <v>71</v>
      </c>
      <c r="M97" s="1" t="str">
        <f t="shared" si="19"/>
        <v>TBP</v>
      </c>
      <c r="N97" s="6" t="s">
        <v>96</v>
      </c>
      <c r="O97" s="1" t="str">
        <f t="shared" si="38"/>
        <v>TBP</v>
      </c>
      <c r="P97" s="1" t="s">
        <v>71</v>
      </c>
      <c r="Q97" s="1" t="str">
        <f t="shared" si="39"/>
        <v>TBP</v>
      </c>
      <c r="R97" s="6" t="s">
        <v>71</v>
      </c>
      <c r="S97" s="6" t="str">
        <f t="shared" si="40"/>
        <v>TBP</v>
      </c>
      <c r="T97" s="1" t="s">
        <v>96</v>
      </c>
      <c r="U97" s="6" t="str">
        <f t="shared" si="41"/>
        <v>TBP</v>
      </c>
      <c r="V97" s="6" t="s">
        <v>71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B97" s="6" t="s">
        <v>71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H97" s="6" t="s">
        <v>71</v>
      </c>
      <c r="AI97" s="6" t="str">
        <f t="shared" si="48"/>
        <v>TBP</v>
      </c>
      <c r="AJ97" s="6" t="s">
        <v>96</v>
      </c>
      <c r="AK97" s="6" t="str">
        <f t="shared" si="49"/>
        <v>TBP</v>
      </c>
      <c r="AL97" s="6" t="s">
        <v>96</v>
      </c>
      <c r="AM97" s="6" t="str">
        <f t="shared" si="50"/>
        <v>TBP</v>
      </c>
      <c r="AN97" s="6" t="s">
        <v>96</v>
      </c>
      <c r="AO97" s="6" t="str">
        <f t="shared" si="51"/>
        <v>TBP</v>
      </c>
      <c r="AP97" s="6" t="s">
        <v>96</v>
      </c>
      <c r="AQ97" s="6" t="str">
        <f t="shared" si="52"/>
        <v>TBP</v>
      </c>
      <c r="AR97" s="6" t="s">
        <v>71</v>
      </c>
      <c r="AS97" s="6" t="str">
        <f t="shared" si="53"/>
        <v>TBP</v>
      </c>
      <c r="AT97" s="6" t="s">
        <v>71</v>
      </c>
      <c r="AU97" s="6" t="str">
        <f t="shared" si="54"/>
        <v>TBP</v>
      </c>
      <c r="AV97" s="6" t="s">
        <v>71</v>
      </c>
      <c r="AW97" s="6" t="str">
        <f t="shared" si="56"/>
        <v>TBP</v>
      </c>
    </row>
    <row r="98" spans="3:49" x14ac:dyDescent="0.35">
      <c r="C98" s="1" t="s">
        <v>224</v>
      </c>
      <c r="D98" s="20" t="s">
        <v>231</v>
      </c>
      <c r="E98" s="33">
        <v>46211</v>
      </c>
      <c r="F98" s="19">
        <v>0.16666666666666666</v>
      </c>
      <c r="G98" s="8">
        <f>K89</f>
        <v>0</v>
      </c>
      <c r="H98" s="1">
        <f>K88</f>
        <v>0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6"/>
        <v>TBP</v>
      </c>
    </row>
    <row r="99" spans="3:49" x14ac:dyDescent="0.35">
      <c r="C99" s="1" t="s">
        <v>224</v>
      </c>
      <c r="D99" s="20" t="s">
        <v>232</v>
      </c>
      <c r="E99" s="33">
        <v>46211</v>
      </c>
      <c r="F99" s="19">
        <v>0.33333333333333331</v>
      </c>
      <c r="G99" s="8">
        <f>K87</f>
        <v>0</v>
      </c>
      <c r="H99" s="1">
        <f>K90</f>
        <v>0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6"/>
        <v>TBP</v>
      </c>
    </row>
    <row r="100" spans="3:49" x14ac:dyDescent="0.35">
      <c r="C100" s="1"/>
      <c r="D100" s="20"/>
      <c r="E100" s="33"/>
      <c r="F100" s="19">
        <v>0.33333333333333331</v>
      </c>
      <c r="G100" s="8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 x14ac:dyDescent="0.35">
      <c r="C101" s="1" t="s">
        <v>233</v>
      </c>
      <c r="D101" s="20" t="s">
        <v>234</v>
      </c>
      <c r="E101" s="33">
        <v>46213</v>
      </c>
      <c r="F101" s="19">
        <v>0.29166666666666669</v>
      </c>
      <c r="G101" s="8">
        <f>K93</f>
        <v>0</v>
      </c>
      <c r="H101" s="1">
        <f>K92</f>
        <v>0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6"/>
        <v>TBP</v>
      </c>
    </row>
    <row r="102" spans="3:49" x14ac:dyDescent="0.35">
      <c r="C102" s="1" t="s">
        <v>233</v>
      </c>
      <c r="D102" s="20" t="s">
        <v>235</v>
      </c>
      <c r="E102" s="33">
        <v>46214</v>
      </c>
      <c r="F102" s="19">
        <v>0.375</v>
      </c>
      <c r="G102" s="8">
        <f>K96</f>
        <v>0</v>
      </c>
      <c r="H102" s="1">
        <f>K97</f>
        <v>0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6"/>
        <v>TBP</v>
      </c>
    </row>
    <row r="103" spans="3:49" x14ac:dyDescent="0.35">
      <c r="C103" s="1" t="s">
        <v>233</v>
      </c>
      <c r="D103" s="20" t="s">
        <v>236</v>
      </c>
      <c r="E103" s="33">
        <v>46215</v>
      </c>
      <c r="F103" s="19">
        <v>0.54166666666666663</v>
      </c>
      <c r="G103" s="8">
        <f>K94</f>
        <v>0</v>
      </c>
      <c r="H103" s="1">
        <f>K95</f>
        <v>0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6"/>
        <v>TBP</v>
      </c>
    </row>
    <row r="104" spans="3:49" x14ac:dyDescent="0.35">
      <c r="C104" s="1" t="s">
        <v>233</v>
      </c>
      <c r="D104" s="20" t="s">
        <v>237</v>
      </c>
      <c r="E104" s="33">
        <v>46215</v>
      </c>
      <c r="F104" s="19">
        <v>0.29166666666666669</v>
      </c>
      <c r="G104" s="8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6"/>
        <v>TBP</v>
      </c>
    </row>
    <row r="105" spans="3:49" x14ac:dyDescent="0.35">
      <c r="C105" s="1" t="s">
        <v>238</v>
      </c>
      <c r="D105" s="20" t="s">
        <v>239</v>
      </c>
      <c r="E105" s="33">
        <v>46218</v>
      </c>
      <c r="F105" s="19">
        <v>0.29166666666666669</v>
      </c>
      <c r="G105" s="8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6"/>
        <v>TBP</v>
      </c>
    </row>
    <row r="106" spans="3:49" x14ac:dyDescent="0.35">
      <c r="C106" s="1" t="s">
        <v>238</v>
      </c>
      <c r="D106" s="20" t="s">
        <v>240</v>
      </c>
      <c r="E106" s="33">
        <v>46219</v>
      </c>
      <c r="F106" s="19">
        <v>0.375</v>
      </c>
      <c r="G106" s="8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6"/>
        <v>TBP</v>
      </c>
    </row>
    <row r="107" spans="3:49" x14ac:dyDescent="0.35">
      <c r="C107" s="1" t="s">
        <v>241</v>
      </c>
      <c r="D107" s="20" t="s">
        <v>242</v>
      </c>
      <c r="E107" s="33">
        <v>46222</v>
      </c>
      <c r="F107" s="19">
        <v>0.29166666666666669</v>
      </c>
      <c r="G107" s="8" t="s">
        <v>243</v>
      </c>
      <c r="H107" s="1" t="s">
        <v>244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 x14ac:dyDescent="0.35">
      <c r="C108" s="1" t="s">
        <v>245</v>
      </c>
      <c r="D108" s="20" t="s">
        <v>246</v>
      </c>
      <c r="E108" s="33">
        <v>46223</v>
      </c>
      <c r="F108" s="28"/>
      <c r="G108" s="8" t="s">
        <v>247</v>
      </c>
      <c r="H108" s="1" t="s">
        <v>248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09" spans="3:49" x14ac:dyDescent="0.35">
      <c r="E109" s="27"/>
      <c r="F109" s="30"/>
    </row>
    <row r="110" spans="3:49" x14ac:dyDescent="0.35">
      <c r="M110" s="6">
        <f>COUNTIF(M75:M108, "Matched")</f>
        <v>6</v>
      </c>
      <c r="O110" s="6">
        <f>COUNTIF(O75:O108, "Matched")</f>
        <v>7</v>
      </c>
      <c r="Q110" s="6">
        <f>COUNTIF(Q75:Q108, "Matched")</f>
        <v>9</v>
      </c>
      <c r="S110" s="6">
        <f>COUNTIF(S75:S108, "Matched")</f>
        <v>8</v>
      </c>
      <c r="U110" s="6">
        <f>COUNTIF(U75:U108, "Matched")</f>
        <v>5</v>
      </c>
      <c r="W110" s="6">
        <f>COUNTIF(W75:W108, "Matched")</f>
        <v>8</v>
      </c>
      <c r="Y110" s="6">
        <f>COUNTIF(Y75:Y108, "Matched")</f>
        <v>7</v>
      </c>
      <c r="AA110" s="6">
        <f>COUNTIF(AA75:AA108, "Matched")</f>
        <v>9</v>
      </c>
      <c r="AC110" s="6">
        <f>COUNTIF(AC75:AC108, "Matched")</f>
        <v>9</v>
      </c>
      <c r="AE110" s="6">
        <f>COUNTIF(AE75:AE108, "Matched")</f>
        <v>9</v>
      </c>
      <c r="AG110" s="6">
        <f>COUNTIF(AG75:AG108, "Matched")</f>
        <v>7</v>
      </c>
      <c r="AI110" s="6">
        <f>COUNTIF(AI75:AI108, "Matched")</f>
        <v>9</v>
      </c>
      <c r="AK110" s="6">
        <f>COUNTIF(AK75:AK108, "Matched")</f>
        <v>10</v>
      </c>
      <c r="AM110" s="6">
        <f>COUNTIF(AM75:AM108, "Matched")</f>
        <v>9</v>
      </c>
      <c r="AO110" s="6">
        <f>COUNTIF(AO75:AO108, "Matched")</f>
        <v>10</v>
      </c>
      <c r="AQ110" s="6">
        <f>COUNTIF(AQ75:AQ108, "Matched")</f>
        <v>8</v>
      </c>
      <c r="AS110" s="6">
        <f>COUNTIF(AS75:AS108, "Matched")</f>
        <v>9</v>
      </c>
      <c r="AU110" s="6">
        <f>COUNTIF(AU75:AU108, "Matched")</f>
        <v>8</v>
      </c>
      <c r="AW110" s="6">
        <f>COUNTIF(AW75:AW108, "Matched")</f>
        <v>9</v>
      </c>
    </row>
    <row r="111" spans="3:49" x14ac:dyDescent="0.35">
      <c r="C111" s="24" t="s">
        <v>249</v>
      </c>
      <c r="M111" s="24">
        <f>M74+M110</f>
        <v>43</v>
      </c>
      <c r="O111" s="24">
        <f>O74+O110</f>
        <v>51</v>
      </c>
      <c r="Q111" s="24">
        <f>Q74+Q110</f>
        <v>50</v>
      </c>
      <c r="S111" s="24">
        <f>S74+S110</f>
        <v>51</v>
      </c>
      <c r="U111" s="24">
        <f>U74+U110</f>
        <v>46</v>
      </c>
      <c r="W111" s="24">
        <f>W74+W110</f>
        <v>52</v>
      </c>
      <c r="Y111" s="24">
        <f>Y74+Y110</f>
        <v>52</v>
      </c>
      <c r="AA111" s="24">
        <f>AA74+AA110</f>
        <v>46</v>
      </c>
      <c r="AC111" s="24">
        <f>AC74+AC110</f>
        <v>53</v>
      </c>
      <c r="AE111" s="24">
        <f>AE74+AE110</f>
        <v>53</v>
      </c>
      <c r="AG111" s="24">
        <f>AG74+AG110</f>
        <v>51</v>
      </c>
      <c r="AI111" s="24">
        <f>AI74+AI110</f>
        <v>52</v>
      </c>
      <c r="AK111" s="24">
        <f>AK74+AK110</f>
        <v>52</v>
      </c>
      <c r="AM111" s="24">
        <f>AM74+AM110</f>
        <v>55</v>
      </c>
      <c r="AO111" s="24">
        <f>AO74+AO110</f>
        <v>56</v>
      </c>
      <c r="AQ111" s="24">
        <f>AQ74+AQ110</f>
        <v>47</v>
      </c>
      <c r="AS111" s="24">
        <f>AS74+AS110</f>
        <v>58</v>
      </c>
      <c r="AU111" s="24">
        <f>AU74+AU110</f>
        <v>52</v>
      </c>
      <c r="AW111" s="24">
        <f>AW74+AW110</f>
        <v>51</v>
      </c>
    </row>
  </sheetData>
  <phoneticPr fontId="10" type="noConversion"/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250</v>
      </c>
      <c r="B1" t="s">
        <v>251</v>
      </c>
      <c r="D1" s="1" t="s">
        <v>48</v>
      </c>
      <c r="E1" s="2">
        <v>1</v>
      </c>
      <c r="G1" s="2" t="s">
        <v>252</v>
      </c>
      <c r="H1" s="2">
        <v>6</v>
      </c>
    </row>
    <row r="2" spans="1:8" x14ac:dyDescent="0.35">
      <c r="A2" s="7" t="s">
        <v>253</v>
      </c>
      <c r="B2" s="7" t="s">
        <v>254</v>
      </c>
      <c r="D2" s="1" t="s">
        <v>54</v>
      </c>
      <c r="E2" s="2">
        <v>2</v>
      </c>
      <c r="G2" s="2" t="s">
        <v>255</v>
      </c>
      <c r="H2" s="2">
        <v>6</v>
      </c>
    </row>
    <row r="3" spans="1:8" x14ac:dyDescent="0.35">
      <c r="A3" s="7" t="s">
        <v>256</v>
      </c>
      <c r="B3" t="s">
        <v>254</v>
      </c>
      <c r="D3" s="1" t="s">
        <v>60</v>
      </c>
      <c r="E3" s="2">
        <v>3</v>
      </c>
      <c r="G3" s="2" t="s">
        <v>256</v>
      </c>
      <c r="H3" s="2">
        <v>5</v>
      </c>
    </row>
    <row r="4" spans="1:8" x14ac:dyDescent="0.35">
      <c r="A4" s="7" t="s">
        <v>257</v>
      </c>
      <c r="B4" s="7" t="s">
        <v>254</v>
      </c>
      <c r="D4" s="1" t="s">
        <v>67</v>
      </c>
      <c r="E4" s="2">
        <v>4</v>
      </c>
      <c r="G4" s="2" t="s">
        <v>257</v>
      </c>
      <c r="H4" s="2">
        <v>5</v>
      </c>
    </row>
    <row r="5" spans="1:8" x14ac:dyDescent="0.35">
      <c r="A5" s="7" t="s">
        <v>258</v>
      </c>
      <c r="B5" s="7" t="s">
        <v>254</v>
      </c>
      <c r="D5" s="1" t="s">
        <v>74</v>
      </c>
      <c r="E5" s="2">
        <v>5</v>
      </c>
      <c r="G5" s="2" t="s">
        <v>258</v>
      </c>
      <c r="H5" s="2">
        <v>5</v>
      </c>
    </row>
    <row r="6" spans="1:8" x14ac:dyDescent="0.35">
      <c r="A6" s="7" t="s">
        <v>259</v>
      </c>
      <c r="B6" s="7" t="s">
        <v>254</v>
      </c>
      <c r="D6" s="1" t="s">
        <v>79</v>
      </c>
      <c r="E6" s="2">
        <v>6</v>
      </c>
      <c r="G6" s="2" t="s">
        <v>259</v>
      </c>
      <c r="H6" s="2">
        <v>5</v>
      </c>
    </row>
    <row r="7" spans="1:8" x14ac:dyDescent="0.35">
      <c r="A7" s="7" t="s">
        <v>260</v>
      </c>
      <c r="B7" s="7" t="s">
        <v>254</v>
      </c>
      <c r="D7" s="1" t="s">
        <v>83</v>
      </c>
      <c r="E7" s="2">
        <v>7</v>
      </c>
      <c r="G7" s="2" t="s">
        <v>260</v>
      </c>
      <c r="H7" s="2">
        <v>5</v>
      </c>
    </row>
    <row r="8" spans="1:8" x14ac:dyDescent="0.35">
      <c r="A8" t="s">
        <v>261</v>
      </c>
      <c r="B8" s="7"/>
      <c r="D8" s="1" t="s">
        <v>89</v>
      </c>
      <c r="E8" s="2">
        <v>8</v>
      </c>
      <c r="G8" s="2" t="s">
        <v>262</v>
      </c>
      <c r="H8" s="2">
        <v>5</v>
      </c>
    </row>
    <row r="9" spans="1:8" x14ac:dyDescent="0.35">
      <c r="A9" s="7" t="s">
        <v>262</v>
      </c>
      <c r="B9" s="7" t="s">
        <v>254</v>
      </c>
      <c r="D9" s="1" t="s">
        <v>96</v>
      </c>
      <c r="E9" s="2">
        <v>9</v>
      </c>
      <c r="G9" s="2" t="s">
        <v>263</v>
      </c>
      <c r="H9" s="2">
        <v>5</v>
      </c>
    </row>
    <row r="10" spans="1:8" x14ac:dyDescent="0.35">
      <c r="A10" s="7" t="s">
        <v>252</v>
      </c>
      <c r="B10" s="7" t="s">
        <v>254</v>
      </c>
      <c r="D10" s="1" t="s">
        <v>99</v>
      </c>
      <c r="E10" s="2">
        <v>10</v>
      </c>
      <c r="G10" s="2" t="s">
        <v>264</v>
      </c>
      <c r="H10" s="2">
        <v>5</v>
      </c>
    </row>
    <row r="11" spans="1:8" x14ac:dyDescent="0.35">
      <c r="A11" s="7" t="s">
        <v>265</v>
      </c>
      <c r="B11" s="7" t="s">
        <v>254</v>
      </c>
      <c r="D11" s="1" t="s">
        <v>106</v>
      </c>
      <c r="E11" s="2">
        <v>11</v>
      </c>
      <c r="G11" s="2" t="s">
        <v>266</v>
      </c>
      <c r="H11" s="2">
        <v>5</v>
      </c>
    </row>
    <row r="12" spans="1:8" x14ac:dyDescent="0.35">
      <c r="A12" s="7" t="s">
        <v>267</v>
      </c>
      <c r="B12" s="7" t="s">
        <v>254</v>
      </c>
      <c r="D12" s="1" t="s">
        <v>111</v>
      </c>
      <c r="E12" s="2">
        <v>13</v>
      </c>
      <c r="G12" s="2" t="s">
        <v>268</v>
      </c>
      <c r="H12" s="2">
        <v>5</v>
      </c>
    </row>
    <row r="13" spans="1:8" x14ac:dyDescent="0.35">
      <c r="A13" s="7" t="s">
        <v>269</v>
      </c>
      <c r="B13" s="7" t="s">
        <v>254</v>
      </c>
      <c r="D13" s="1" t="s">
        <v>51</v>
      </c>
      <c r="E13" s="2">
        <v>14</v>
      </c>
      <c r="G13" s="2" t="s">
        <v>265</v>
      </c>
      <c r="H13" s="2">
        <v>4</v>
      </c>
    </row>
    <row r="14" spans="1:8" x14ac:dyDescent="0.35">
      <c r="A14" s="7" t="s">
        <v>270</v>
      </c>
      <c r="B14" s="7" t="s">
        <v>254</v>
      </c>
      <c r="D14" s="1" t="s">
        <v>120</v>
      </c>
      <c r="E14" s="2">
        <v>15</v>
      </c>
      <c r="G14" s="2" t="s">
        <v>267</v>
      </c>
      <c r="H14" s="2">
        <v>4</v>
      </c>
    </row>
    <row r="15" spans="1:8" x14ac:dyDescent="0.35">
      <c r="A15" s="7" t="s">
        <v>263</v>
      </c>
      <c r="B15" s="7" t="s">
        <v>254</v>
      </c>
      <c r="D15" s="1" t="s">
        <v>71</v>
      </c>
      <c r="E15" s="2">
        <v>16</v>
      </c>
      <c r="G15" s="2" t="s">
        <v>269</v>
      </c>
      <c r="H15" s="2">
        <v>4</v>
      </c>
    </row>
    <row r="16" spans="1:8" x14ac:dyDescent="0.35">
      <c r="A16" s="7" t="s">
        <v>264</v>
      </c>
      <c r="B16" s="7" t="s">
        <v>254</v>
      </c>
      <c r="D16" s="1" t="s">
        <v>127</v>
      </c>
      <c r="E16" s="2">
        <v>17</v>
      </c>
      <c r="G16" s="2" t="s">
        <v>271</v>
      </c>
      <c r="H16" s="2">
        <v>4</v>
      </c>
    </row>
    <row r="17" spans="1:8" x14ac:dyDescent="0.35">
      <c r="A17" s="7" t="s">
        <v>271</v>
      </c>
      <c r="B17" s="7" t="s">
        <v>254</v>
      </c>
      <c r="D17" s="1" t="s">
        <v>104</v>
      </c>
      <c r="E17" s="2">
        <v>18</v>
      </c>
      <c r="G17" s="2" t="s">
        <v>253</v>
      </c>
      <c r="H17" s="2">
        <v>3</v>
      </c>
    </row>
    <row r="18" spans="1:8" x14ac:dyDescent="0.35">
      <c r="A18" s="7" t="s">
        <v>255</v>
      </c>
      <c r="B18" s="7" t="s">
        <v>254</v>
      </c>
      <c r="D18" s="1" t="s">
        <v>77</v>
      </c>
      <c r="E18" s="2">
        <v>19</v>
      </c>
      <c r="G18" s="2" t="s">
        <v>270</v>
      </c>
      <c r="H18" s="2">
        <v>3</v>
      </c>
    </row>
    <row r="19" spans="1:8" x14ac:dyDescent="0.35">
      <c r="A19" s="7" t="s">
        <v>266</v>
      </c>
      <c r="B19" s="7" t="s">
        <v>254</v>
      </c>
      <c r="D19" s="1" t="s">
        <v>130</v>
      </c>
      <c r="E19" s="2">
        <v>20</v>
      </c>
      <c r="G19" s="2" t="s">
        <v>261</v>
      </c>
      <c r="H19" s="2">
        <v>2</v>
      </c>
    </row>
    <row r="20" spans="1:8" x14ac:dyDescent="0.35">
      <c r="A20" s="7" t="s">
        <v>268</v>
      </c>
      <c r="B20" s="7" t="s">
        <v>254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272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</ds:schemaRefs>
</ds:datastoreItem>
</file>

<file path=customXml/itemProps4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2026-07-04T11:29:17Z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