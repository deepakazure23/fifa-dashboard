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ahunga-my.sharepoint.com/personal/deepak_powar_one_nz/Documents/my_personal/ARO/"/>
    </mc:Choice>
  </mc:AlternateContent>
  <xr:revisionPtr revIDLastSave="3126" documentId="8_{C42A4063-8679-421F-B2A4-8DD3F65A1D1D}" xr6:coauthVersionLast="47" xr6:coauthVersionMax="47" xr10:uidLastSave="{20FC95F8-61FB-4066-B0CE-F02A3F989425}"/>
  <bookViews>
    <workbookView xWindow="-10710" yWindow="-21720" windowWidth="51840" windowHeight="21120" xr2:uid="{8D41EE6F-E9FF-442C-BA21-F66A07E55383}"/>
  </bookViews>
  <sheets>
    <sheet name="Sheet1" sheetId="1" r:id="rId1"/>
    <sheet name="Sheet2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N104" i="1" l="1"/>
  <c r="W101" i="1" l="1"/>
  <c r="W99" i="1"/>
  <c r="R102" i="1"/>
  <c r="AJ96" i="1"/>
  <c r="AW76" i="1"/>
  <c r="AW77" i="1"/>
  <c r="AW78" i="1"/>
  <c r="AW79" i="1"/>
  <c r="AW80" i="1"/>
  <c r="AW81" i="1"/>
  <c r="AW82" i="1"/>
  <c r="AW83" i="1"/>
  <c r="AW84" i="1"/>
  <c r="AW85" i="1"/>
  <c r="AW86" i="1"/>
  <c r="AW87" i="1"/>
  <c r="AW88" i="1"/>
  <c r="AW89" i="1"/>
  <c r="AW90" i="1"/>
  <c r="AW92" i="1"/>
  <c r="AW93" i="1"/>
  <c r="AW94" i="1"/>
  <c r="AW95" i="1"/>
  <c r="AW96" i="1"/>
  <c r="AW97" i="1"/>
  <c r="AW98" i="1"/>
  <c r="AW99" i="1"/>
  <c r="AW100" i="1"/>
  <c r="AW101" i="1"/>
  <c r="AW102" i="1"/>
  <c r="AW103" i="1"/>
  <c r="AW104" i="1"/>
  <c r="AW105" i="1"/>
  <c r="AW106" i="1"/>
  <c r="AW107" i="1"/>
  <c r="AW108" i="1"/>
  <c r="AW75" i="1"/>
  <c r="AU76" i="1"/>
  <c r="AU77" i="1"/>
  <c r="AU78" i="1"/>
  <c r="AU79" i="1"/>
  <c r="AU80" i="1"/>
  <c r="AU81" i="1"/>
  <c r="AU82" i="1"/>
  <c r="AU83" i="1"/>
  <c r="AU84" i="1"/>
  <c r="AU85" i="1"/>
  <c r="AU86" i="1"/>
  <c r="AU87" i="1"/>
  <c r="AU88" i="1"/>
  <c r="AU89" i="1"/>
  <c r="AU90" i="1"/>
  <c r="AU92" i="1"/>
  <c r="AU93" i="1"/>
  <c r="AU94" i="1"/>
  <c r="AU95" i="1"/>
  <c r="AU96" i="1"/>
  <c r="AU97" i="1"/>
  <c r="AU98" i="1"/>
  <c r="AU99" i="1"/>
  <c r="AU100" i="1"/>
  <c r="AU101" i="1"/>
  <c r="AU102" i="1"/>
  <c r="AU103" i="1"/>
  <c r="AU104" i="1"/>
  <c r="AU105" i="1"/>
  <c r="AU106" i="1"/>
  <c r="AU107" i="1"/>
  <c r="AU108" i="1"/>
  <c r="AU75" i="1"/>
  <c r="AS76" i="1"/>
  <c r="AS77" i="1"/>
  <c r="AS78" i="1"/>
  <c r="AS79" i="1"/>
  <c r="AS80" i="1"/>
  <c r="AS81" i="1"/>
  <c r="AS82" i="1"/>
  <c r="AS83" i="1"/>
  <c r="AS84" i="1"/>
  <c r="AS85" i="1"/>
  <c r="AS86" i="1"/>
  <c r="AS87" i="1"/>
  <c r="AS88" i="1"/>
  <c r="AS89" i="1"/>
  <c r="AS90" i="1"/>
  <c r="AS92" i="1"/>
  <c r="AS93" i="1"/>
  <c r="AS94" i="1"/>
  <c r="AS95" i="1"/>
  <c r="AS96" i="1"/>
  <c r="AS97" i="1"/>
  <c r="AS98" i="1"/>
  <c r="AS99" i="1"/>
  <c r="AS100" i="1"/>
  <c r="AS101" i="1"/>
  <c r="AS102" i="1"/>
  <c r="AS103" i="1"/>
  <c r="AS104" i="1"/>
  <c r="AS105" i="1"/>
  <c r="AS106" i="1"/>
  <c r="AS107" i="1"/>
  <c r="AS108" i="1"/>
  <c r="AS75" i="1"/>
  <c r="AQ76" i="1"/>
  <c r="AQ77" i="1"/>
  <c r="AQ78" i="1"/>
  <c r="AQ79" i="1"/>
  <c r="AQ80" i="1"/>
  <c r="AQ81" i="1"/>
  <c r="AQ82" i="1"/>
  <c r="AQ83" i="1"/>
  <c r="AQ84" i="1"/>
  <c r="AQ85" i="1"/>
  <c r="AQ86" i="1"/>
  <c r="AQ87" i="1"/>
  <c r="AQ88" i="1"/>
  <c r="AQ89" i="1"/>
  <c r="AQ90" i="1"/>
  <c r="AQ92" i="1"/>
  <c r="AQ93" i="1"/>
  <c r="AQ94" i="1"/>
  <c r="AQ95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75" i="1"/>
  <c r="AO76" i="1"/>
  <c r="AO77" i="1"/>
  <c r="AO78" i="1"/>
  <c r="AO79" i="1"/>
  <c r="AO80" i="1"/>
  <c r="AO81" i="1"/>
  <c r="AO82" i="1"/>
  <c r="AO83" i="1"/>
  <c r="AO84" i="1"/>
  <c r="AO85" i="1"/>
  <c r="AO86" i="1"/>
  <c r="AO87" i="1"/>
  <c r="AO88" i="1"/>
  <c r="AO89" i="1"/>
  <c r="AO90" i="1"/>
  <c r="AO92" i="1"/>
  <c r="AO93" i="1"/>
  <c r="AO94" i="1"/>
  <c r="AO95" i="1"/>
  <c r="AO96" i="1"/>
  <c r="AO97" i="1"/>
  <c r="AO98" i="1"/>
  <c r="AO99" i="1"/>
  <c r="AO100" i="1"/>
  <c r="AO101" i="1"/>
  <c r="AO102" i="1"/>
  <c r="AO103" i="1"/>
  <c r="AO104" i="1"/>
  <c r="AO105" i="1"/>
  <c r="AO106" i="1"/>
  <c r="AO107" i="1"/>
  <c r="AO108" i="1"/>
  <c r="AO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75" i="1"/>
  <c r="AK76" i="1"/>
  <c r="AK77" i="1"/>
  <c r="AK78" i="1"/>
  <c r="AK79" i="1"/>
  <c r="AK80" i="1"/>
  <c r="AK81" i="1"/>
  <c r="AK82" i="1"/>
  <c r="AK83" i="1"/>
  <c r="AK84" i="1"/>
  <c r="AK85" i="1"/>
  <c r="AK86" i="1"/>
  <c r="AK87" i="1"/>
  <c r="AK88" i="1"/>
  <c r="AK89" i="1"/>
  <c r="AK90" i="1"/>
  <c r="AK92" i="1"/>
  <c r="AK93" i="1"/>
  <c r="AK94" i="1"/>
  <c r="AK95" i="1"/>
  <c r="AK96" i="1"/>
  <c r="AK97" i="1"/>
  <c r="AK98" i="1"/>
  <c r="AK99" i="1"/>
  <c r="AK100" i="1"/>
  <c r="AK101" i="1"/>
  <c r="AK102" i="1"/>
  <c r="AK103" i="1"/>
  <c r="AK104" i="1"/>
  <c r="AK105" i="1"/>
  <c r="AK106" i="1"/>
  <c r="AK107" i="1"/>
  <c r="AK108" i="1"/>
  <c r="AK75" i="1"/>
  <c r="AI76" i="1"/>
  <c r="AI77" i="1"/>
  <c r="AI78" i="1"/>
  <c r="AI79" i="1"/>
  <c r="AI80" i="1"/>
  <c r="AI81" i="1"/>
  <c r="AI82" i="1"/>
  <c r="AI83" i="1"/>
  <c r="AI84" i="1"/>
  <c r="AI85" i="1"/>
  <c r="AI86" i="1"/>
  <c r="AI87" i="1"/>
  <c r="AI88" i="1"/>
  <c r="AI89" i="1"/>
  <c r="AI90" i="1"/>
  <c r="AI92" i="1"/>
  <c r="AI93" i="1"/>
  <c r="AI94" i="1"/>
  <c r="AI95" i="1"/>
  <c r="AI96" i="1"/>
  <c r="AI97" i="1"/>
  <c r="AI98" i="1"/>
  <c r="AI99" i="1"/>
  <c r="AI100" i="1"/>
  <c r="AI101" i="1"/>
  <c r="AI102" i="1"/>
  <c r="AI103" i="1"/>
  <c r="AI104" i="1"/>
  <c r="AI105" i="1"/>
  <c r="AI106" i="1"/>
  <c r="AI107" i="1"/>
  <c r="AI108" i="1"/>
  <c r="AI75" i="1"/>
  <c r="AG76" i="1"/>
  <c r="AG77" i="1"/>
  <c r="AG78" i="1"/>
  <c r="AG79" i="1"/>
  <c r="AG80" i="1"/>
  <c r="AG81" i="1"/>
  <c r="AG82" i="1"/>
  <c r="AG83" i="1"/>
  <c r="AG84" i="1"/>
  <c r="AG85" i="1"/>
  <c r="AG86" i="1"/>
  <c r="AG87" i="1"/>
  <c r="AG88" i="1"/>
  <c r="AG89" i="1"/>
  <c r="AG90" i="1"/>
  <c r="AG92" i="1"/>
  <c r="AG93" i="1"/>
  <c r="AG94" i="1"/>
  <c r="AG95" i="1"/>
  <c r="AG96" i="1"/>
  <c r="AG97" i="1"/>
  <c r="AG98" i="1"/>
  <c r="AG99" i="1"/>
  <c r="AG100" i="1"/>
  <c r="AG101" i="1"/>
  <c r="AG102" i="1"/>
  <c r="AG103" i="1"/>
  <c r="AG104" i="1"/>
  <c r="AG105" i="1"/>
  <c r="AG106" i="1"/>
  <c r="AG107" i="1"/>
  <c r="AG108" i="1"/>
  <c r="AG75" i="1"/>
  <c r="AE76" i="1"/>
  <c r="AE77" i="1"/>
  <c r="AE78" i="1"/>
  <c r="AE79" i="1"/>
  <c r="AE80" i="1"/>
  <c r="AE81" i="1"/>
  <c r="AE82" i="1"/>
  <c r="AE83" i="1"/>
  <c r="AE84" i="1"/>
  <c r="AE85" i="1"/>
  <c r="AE86" i="1"/>
  <c r="AE87" i="1"/>
  <c r="AE88" i="1"/>
  <c r="AE89" i="1"/>
  <c r="AE90" i="1"/>
  <c r="AE92" i="1"/>
  <c r="AE93" i="1"/>
  <c r="AE94" i="1"/>
  <c r="AE95" i="1"/>
  <c r="AE96" i="1"/>
  <c r="AE97" i="1"/>
  <c r="AE98" i="1"/>
  <c r="AE99" i="1"/>
  <c r="AE100" i="1"/>
  <c r="AE101" i="1"/>
  <c r="AE102" i="1"/>
  <c r="AE103" i="1"/>
  <c r="AE104" i="1"/>
  <c r="AE105" i="1"/>
  <c r="AE106" i="1"/>
  <c r="AE107" i="1"/>
  <c r="AE108" i="1"/>
  <c r="AE75" i="1"/>
  <c r="AC76" i="1"/>
  <c r="AC77" i="1"/>
  <c r="AC78" i="1"/>
  <c r="AC79" i="1"/>
  <c r="AC80" i="1"/>
  <c r="AC81" i="1"/>
  <c r="AC82" i="1"/>
  <c r="AC83" i="1"/>
  <c r="AC84" i="1"/>
  <c r="AC85" i="1"/>
  <c r="AC86" i="1"/>
  <c r="AC87" i="1"/>
  <c r="AC88" i="1"/>
  <c r="AC89" i="1"/>
  <c r="AC90" i="1"/>
  <c r="AC92" i="1"/>
  <c r="AC93" i="1"/>
  <c r="AC94" i="1"/>
  <c r="AC95" i="1"/>
  <c r="AC96" i="1"/>
  <c r="AC97" i="1"/>
  <c r="AC98" i="1"/>
  <c r="AC99" i="1"/>
  <c r="AC100" i="1"/>
  <c r="AC101" i="1"/>
  <c r="AC102" i="1"/>
  <c r="AC103" i="1"/>
  <c r="AC104" i="1"/>
  <c r="AC105" i="1"/>
  <c r="AC106" i="1"/>
  <c r="AC107" i="1"/>
  <c r="AC108" i="1"/>
  <c r="AC75" i="1"/>
  <c r="AA76" i="1"/>
  <c r="AA77" i="1"/>
  <c r="AA78" i="1"/>
  <c r="AA79" i="1"/>
  <c r="AA80" i="1"/>
  <c r="AA81" i="1"/>
  <c r="AA82" i="1"/>
  <c r="AA83" i="1"/>
  <c r="AA84" i="1"/>
  <c r="AA85" i="1"/>
  <c r="AA86" i="1"/>
  <c r="AA87" i="1"/>
  <c r="AA88" i="1"/>
  <c r="AA89" i="1"/>
  <c r="AA90" i="1"/>
  <c r="AA92" i="1"/>
  <c r="AA93" i="1"/>
  <c r="AA94" i="1"/>
  <c r="AA95" i="1"/>
  <c r="AA96" i="1"/>
  <c r="AA97" i="1"/>
  <c r="AA98" i="1"/>
  <c r="AA99" i="1"/>
  <c r="AA100" i="1"/>
  <c r="AA101" i="1"/>
  <c r="AA102" i="1"/>
  <c r="AA103" i="1"/>
  <c r="AA104" i="1"/>
  <c r="AA105" i="1"/>
  <c r="AA106" i="1"/>
  <c r="AA107" i="1"/>
  <c r="AA108" i="1"/>
  <c r="AA75" i="1"/>
  <c r="Y76" i="1"/>
  <c r="Y77" i="1"/>
  <c r="Y78" i="1"/>
  <c r="Y79" i="1"/>
  <c r="Y80" i="1"/>
  <c r="Y81" i="1"/>
  <c r="Y82" i="1"/>
  <c r="Y83" i="1"/>
  <c r="Y84" i="1"/>
  <c r="Y85" i="1"/>
  <c r="Y86" i="1"/>
  <c r="Y87" i="1"/>
  <c r="Y88" i="1"/>
  <c r="Y89" i="1"/>
  <c r="Y90" i="1"/>
  <c r="Y92" i="1"/>
  <c r="Y93" i="1"/>
  <c r="Y94" i="1"/>
  <c r="Y95" i="1"/>
  <c r="Y96" i="1"/>
  <c r="Y97" i="1"/>
  <c r="Y98" i="1"/>
  <c r="Y99" i="1"/>
  <c r="Y100" i="1"/>
  <c r="Y101" i="1"/>
  <c r="Y102" i="1"/>
  <c r="Y103" i="1"/>
  <c r="Y104" i="1"/>
  <c r="Y105" i="1"/>
  <c r="Y106" i="1"/>
  <c r="Y107" i="1"/>
  <c r="Y108" i="1"/>
  <c r="Y75" i="1"/>
  <c r="W76" i="1"/>
  <c r="W77" i="1"/>
  <c r="W78" i="1"/>
  <c r="W79" i="1"/>
  <c r="W80" i="1"/>
  <c r="W81" i="1"/>
  <c r="W82" i="1"/>
  <c r="W83" i="1"/>
  <c r="W84" i="1"/>
  <c r="W85" i="1"/>
  <c r="W86" i="1"/>
  <c r="W87" i="1"/>
  <c r="W88" i="1"/>
  <c r="W89" i="1"/>
  <c r="W90" i="1"/>
  <c r="W92" i="1"/>
  <c r="W93" i="1"/>
  <c r="W94" i="1"/>
  <c r="W95" i="1"/>
  <c r="W96" i="1"/>
  <c r="W97" i="1"/>
  <c r="W98" i="1"/>
  <c r="W100" i="1"/>
  <c r="W102" i="1"/>
  <c r="W103" i="1"/>
  <c r="W104" i="1"/>
  <c r="W105" i="1"/>
  <c r="W106" i="1"/>
  <c r="W107" i="1"/>
  <c r="W108" i="1"/>
  <c r="W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75" i="1"/>
  <c r="S76" i="1"/>
  <c r="S77" i="1"/>
  <c r="S78" i="1"/>
  <c r="S79" i="1"/>
  <c r="S80" i="1"/>
  <c r="S81" i="1"/>
  <c r="S82" i="1"/>
  <c r="S83" i="1"/>
  <c r="S84" i="1"/>
  <c r="S85" i="1"/>
  <c r="S86" i="1"/>
  <c r="S87" i="1"/>
  <c r="S88" i="1"/>
  <c r="S89" i="1"/>
  <c r="S90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S108" i="1"/>
  <c r="S75" i="1"/>
  <c r="Q108" i="1"/>
  <c r="Q80" i="1"/>
  <c r="Q81" i="1"/>
  <c r="Q82" i="1"/>
  <c r="Q83" i="1"/>
  <c r="Q84" i="1"/>
  <c r="Q85" i="1"/>
  <c r="Q86" i="1"/>
  <c r="Q87" i="1"/>
  <c r="Q89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O76" i="1"/>
  <c r="Q76" i="1"/>
  <c r="O77" i="1"/>
  <c r="Q77" i="1"/>
  <c r="O78" i="1"/>
  <c r="Q78" i="1"/>
  <c r="O79" i="1"/>
  <c r="Q79" i="1"/>
  <c r="O80" i="1"/>
  <c r="O81" i="1"/>
  <c r="O82" i="1"/>
  <c r="O83" i="1"/>
  <c r="O84" i="1"/>
  <c r="O85" i="1"/>
  <c r="O86" i="1"/>
  <c r="O87" i="1"/>
  <c r="O88" i="1"/>
  <c r="Q88" i="1"/>
  <c r="O89" i="1"/>
  <c r="O90" i="1"/>
  <c r="Q90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75" i="1"/>
  <c r="Q75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76" i="1"/>
  <c r="M75" i="1"/>
  <c r="AK21" i="1"/>
  <c r="AK22" i="1"/>
  <c r="AK23" i="1"/>
  <c r="AK24" i="1"/>
  <c r="AK25" i="1"/>
  <c r="AK26" i="1"/>
  <c r="AK27" i="1"/>
  <c r="AK28" i="1"/>
  <c r="AK29" i="1"/>
  <c r="AK30" i="1"/>
  <c r="AK31" i="1"/>
  <c r="AK32" i="1"/>
  <c r="AK33" i="1"/>
  <c r="AK34" i="1"/>
  <c r="AK35" i="1"/>
  <c r="AK36" i="1"/>
  <c r="AK37" i="1"/>
  <c r="AK38" i="1"/>
  <c r="AK39" i="1"/>
  <c r="AK40" i="1"/>
  <c r="AK41" i="1"/>
  <c r="AK42" i="1"/>
  <c r="AK43" i="1"/>
  <c r="AK44" i="1"/>
  <c r="AK45" i="1"/>
  <c r="AK46" i="1"/>
  <c r="AK47" i="1"/>
  <c r="AK48" i="1"/>
  <c r="AK49" i="1"/>
  <c r="AK50" i="1"/>
  <c r="AK51" i="1"/>
  <c r="AK52" i="1"/>
  <c r="AK53" i="1"/>
  <c r="AK54" i="1"/>
  <c r="AK55" i="1"/>
  <c r="AK56" i="1"/>
  <c r="AK57" i="1"/>
  <c r="AK58" i="1"/>
  <c r="AK59" i="1"/>
  <c r="AK60" i="1"/>
  <c r="AK61" i="1"/>
  <c r="AK62" i="1"/>
  <c r="AK63" i="1"/>
  <c r="AK64" i="1"/>
  <c r="AK65" i="1"/>
  <c r="AK66" i="1"/>
  <c r="AK67" i="1"/>
  <c r="AK68" i="1"/>
  <c r="AK69" i="1"/>
  <c r="AK70" i="1"/>
  <c r="AK71" i="1"/>
  <c r="AK72" i="1"/>
  <c r="AK73" i="1"/>
  <c r="AK20" i="1"/>
  <c r="AK19" i="1"/>
  <c r="AK18" i="1"/>
  <c r="AG13" i="1"/>
  <c r="AS3" i="1"/>
  <c r="AS4" i="1"/>
  <c r="AS5" i="1"/>
  <c r="AS6" i="1"/>
  <c r="AS7" i="1"/>
  <c r="AS8" i="1"/>
  <c r="AS9" i="1"/>
  <c r="AS10" i="1"/>
  <c r="AS11" i="1"/>
  <c r="AS12" i="1"/>
  <c r="AS13" i="1"/>
  <c r="AS14" i="1"/>
  <c r="AS15" i="1"/>
  <c r="AS16" i="1"/>
  <c r="AS17" i="1"/>
  <c r="AS18" i="1"/>
  <c r="AS19" i="1"/>
  <c r="AS20" i="1"/>
  <c r="AS21" i="1"/>
  <c r="AS22" i="1"/>
  <c r="AS23" i="1"/>
  <c r="AS24" i="1"/>
  <c r="AS25" i="1"/>
  <c r="AS26" i="1"/>
  <c r="AS27" i="1"/>
  <c r="AS28" i="1"/>
  <c r="AS29" i="1"/>
  <c r="AS30" i="1"/>
  <c r="AS31" i="1"/>
  <c r="AS32" i="1"/>
  <c r="AS33" i="1"/>
  <c r="AS34" i="1"/>
  <c r="AS35" i="1"/>
  <c r="AS36" i="1"/>
  <c r="AS37" i="1"/>
  <c r="AS38" i="1"/>
  <c r="AS39" i="1"/>
  <c r="AS40" i="1"/>
  <c r="AS41" i="1"/>
  <c r="AS42" i="1"/>
  <c r="AS43" i="1"/>
  <c r="AS44" i="1"/>
  <c r="AS45" i="1"/>
  <c r="AS46" i="1"/>
  <c r="AS47" i="1"/>
  <c r="AS48" i="1"/>
  <c r="AS49" i="1"/>
  <c r="AS50" i="1"/>
  <c r="AS51" i="1"/>
  <c r="AS52" i="1"/>
  <c r="AS53" i="1"/>
  <c r="AS54" i="1"/>
  <c r="AS55" i="1"/>
  <c r="AS56" i="1"/>
  <c r="AS57" i="1"/>
  <c r="AS58" i="1"/>
  <c r="AS59" i="1"/>
  <c r="AS60" i="1"/>
  <c r="AS61" i="1"/>
  <c r="AS62" i="1"/>
  <c r="AS63" i="1"/>
  <c r="AS64" i="1"/>
  <c r="AS65" i="1"/>
  <c r="AS66" i="1"/>
  <c r="AS67" i="1"/>
  <c r="AS68" i="1"/>
  <c r="AS69" i="1"/>
  <c r="AS70" i="1"/>
  <c r="AS71" i="1"/>
  <c r="AS72" i="1"/>
  <c r="AS73" i="1"/>
  <c r="AS2" i="1"/>
  <c r="AM51" i="1"/>
  <c r="AW3" i="1"/>
  <c r="AW4" i="1"/>
  <c r="AW5" i="1"/>
  <c r="AW6" i="1"/>
  <c r="AW7" i="1"/>
  <c r="AW8" i="1"/>
  <c r="AW9" i="1"/>
  <c r="AW10" i="1"/>
  <c r="AW11" i="1"/>
  <c r="AW12" i="1"/>
  <c r="AW13" i="1"/>
  <c r="AW14" i="1"/>
  <c r="AW15" i="1"/>
  <c r="AW16" i="1"/>
  <c r="AW17" i="1"/>
  <c r="AW18" i="1"/>
  <c r="AW19" i="1"/>
  <c r="AW20" i="1"/>
  <c r="AW21" i="1"/>
  <c r="AW22" i="1"/>
  <c r="AW23" i="1"/>
  <c r="AW24" i="1"/>
  <c r="AW25" i="1"/>
  <c r="AW26" i="1"/>
  <c r="AW27" i="1"/>
  <c r="AW28" i="1"/>
  <c r="AW29" i="1"/>
  <c r="AW30" i="1"/>
  <c r="AW31" i="1"/>
  <c r="AW32" i="1"/>
  <c r="AW33" i="1"/>
  <c r="AW34" i="1"/>
  <c r="AW35" i="1"/>
  <c r="AW36" i="1"/>
  <c r="AW37" i="1"/>
  <c r="AW38" i="1"/>
  <c r="AW39" i="1"/>
  <c r="AW40" i="1"/>
  <c r="AW41" i="1"/>
  <c r="AW42" i="1"/>
  <c r="AW43" i="1"/>
  <c r="AW44" i="1"/>
  <c r="AW45" i="1"/>
  <c r="AW46" i="1"/>
  <c r="AW47" i="1"/>
  <c r="AW48" i="1"/>
  <c r="AW49" i="1"/>
  <c r="AW50" i="1"/>
  <c r="AW51" i="1"/>
  <c r="AW52" i="1"/>
  <c r="AW53" i="1"/>
  <c r="AW54" i="1"/>
  <c r="AW55" i="1"/>
  <c r="AW56" i="1"/>
  <c r="AW57" i="1"/>
  <c r="AW58" i="1"/>
  <c r="AW59" i="1"/>
  <c r="AW60" i="1"/>
  <c r="AW61" i="1"/>
  <c r="AW62" i="1"/>
  <c r="AW63" i="1"/>
  <c r="AW64" i="1"/>
  <c r="AW65" i="1"/>
  <c r="AW66" i="1"/>
  <c r="AW67" i="1"/>
  <c r="AW68" i="1"/>
  <c r="AW69" i="1"/>
  <c r="AW70" i="1"/>
  <c r="AW71" i="1"/>
  <c r="AW72" i="1"/>
  <c r="AW73" i="1"/>
  <c r="AW2" i="1"/>
  <c r="AU3" i="1"/>
  <c r="AU4" i="1"/>
  <c r="AU5" i="1"/>
  <c r="AU6" i="1"/>
  <c r="AU7" i="1"/>
  <c r="AU8" i="1"/>
  <c r="AU9" i="1"/>
  <c r="AU10" i="1"/>
  <c r="AU11" i="1"/>
  <c r="AU12" i="1"/>
  <c r="AU13" i="1"/>
  <c r="AU14" i="1"/>
  <c r="AU15" i="1"/>
  <c r="AU16" i="1"/>
  <c r="AU17" i="1"/>
  <c r="AU18" i="1"/>
  <c r="AU19" i="1"/>
  <c r="AU20" i="1"/>
  <c r="AU21" i="1"/>
  <c r="AU22" i="1"/>
  <c r="AU23" i="1"/>
  <c r="AU24" i="1"/>
  <c r="AU25" i="1"/>
  <c r="AU26" i="1"/>
  <c r="AU27" i="1"/>
  <c r="AU28" i="1"/>
  <c r="AU29" i="1"/>
  <c r="AU30" i="1"/>
  <c r="AU31" i="1"/>
  <c r="AU32" i="1"/>
  <c r="AU33" i="1"/>
  <c r="AU34" i="1"/>
  <c r="AU35" i="1"/>
  <c r="AU36" i="1"/>
  <c r="AU37" i="1"/>
  <c r="AU38" i="1"/>
  <c r="AU39" i="1"/>
  <c r="AU40" i="1"/>
  <c r="AU41" i="1"/>
  <c r="AU42" i="1"/>
  <c r="AU43" i="1"/>
  <c r="AU44" i="1"/>
  <c r="AU45" i="1"/>
  <c r="AU46" i="1"/>
  <c r="AU47" i="1"/>
  <c r="AU48" i="1"/>
  <c r="AU49" i="1"/>
  <c r="AU50" i="1"/>
  <c r="AU51" i="1"/>
  <c r="AU52" i="1"/>
  <c r="AU53" i="1"/>
  <c r="AU54" i="1"/>
  <c r="AU55" i="1"/>
  <c r="AU56" i="1"/>
  <c r="AU57" i="1"/>
  <c r="AU58" i="1"/>
  <c r="AU59" i="1"/>
  <c r="AU60" i="1"/>
  <c r="AU61" i="1"/>
  <c r="AU62" i="1"/>
  <c r="AU63" i="1"/>
  <c r="AU64" i="1"/>
  <c r="AU65" i="1"/>
  <c r="AU66" i="1"/>
  <c r="AU67" i="1"/>
  <c r="AU68" i="1"/>
  <c r="AU69" i="1"/>
  <c r="AU70" i="1"/>
  <c r="AU71" i="1"/>
  <c r="AU72" i="1"/>
  <c r="AU73" i="1"/>
  <c r="AQ73" i="1"/>
  <c r="AQ3" i="1"/>
  <c r="AQ4" i="1"/>
  <c r="AQ5" i="1"/>
  <c r="AQ6" i="1"/>
  <c r="AQ7" i="1"/>
  <c r="AQ8" i="1"/>
  <c r="AQ9" i="1"/>
  <c r="AQ10" i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29" i="1"/>
  <c r="AQ30" i="1"/>
  <c r="AQ31" i="1"/>
  <c r="AQ32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49" i="1"/>
  <c r="AQ50" i="1"/>
  <c r="AQ51" i="1"/>
  <c r="AQ52" i="1"/>
  <c r="AQ53" i="1"/>
  <c r="AQ54" i="1"/>
  <c r="AQ55" i="1"/>
  <c r="AQ56" i="1"/>
  <c r="AQ57" i="1"/>
  <c r="AQ58" i="1"/>
  <c r="AQ59" i="1"/>
  <c r="AQ60" i="1"/>
  <c r="AQ61" i="1"/>
  <c r="AQ62" i="1"/>
  <c r="AQ63" i="1"/>
  <c r="AQ64" i="1"/>
  <c r="AQ65" i="1"/>
  <c r="AQ66" i="1"/>
  <c r="AQ67" i="1"/>
  <c r="AQ68" i="1"/>
  <c r="AQ69" i="1"/>
  <c r="AQ70" i="1"/>
  <c r="AQ71" i="1"/>
  <c r="AQ72" i="1"/>
  <c r="AQ2" i="1"/>
  <c r="AO3" i="1"/>
  <c r="AO4" i="1"/>
  <c r="AO5" i="1"/>
  <c r="AO6" i="1"/>
  <c r="AO7" i="1"/>
  <c r="AO8" i="1"/>
  <c r="AO9" i="1"/>
  <c r="AO10" i="1"/>
  <c r="AO11" i="1"/>
  <c r="AO12" i="1"/>
  <c r="AO13" i="1"/>
  <c r="AO14" i="1"/>
  <c r="AO15" i="1"/>
  <c r="AO16" i="1"/>
  <c r="AO17" i="1"/>
  <c r="AO18" i="1"/>
  <c r="AO19" i="1"/>
  <c r="AO20" i="1"/>
  <c r="AO21" i="1"/>
  <c r="AO22" i="1"/>
  <c r="AO23" i="1"/>
  <c r="AO24" i="1"/>
  <c r="AO25" i="1"/>
  <c r="AO26" i="1"/>
  <c r="AO27" i="1"/>
  <c r="AO28" i="1"/>
  <c r="AO29" i="1"/>
  <c r="AO30" i="1"/>
  <c r="AO31" i="1"/>
  <c r="AO32" i="1"/>
  <c r="AO33" i="1"/>
  <c r="AO34" i="1"/>
  <c r="AO35" i="1"/>
  <c r="AO36" i="1"/>
  <c r="AO37" i="1"/>
  <c r="AO38" i="1"/>
  <c r="AO39" i="1"/>
  <c r="AO40" i="1"/>
  <c r="AO41" i="1"/>
  <c r="AO42" i="1"/>
  <c r="AO43" i="1"/>
  <c r="AO44" i="1"/>
  <c r="AO45" i="1"/>
  <c r="AO46" i="1"/>
  <c r="AO47" i="1"/>
  <c r="AO48" i="1"/>
  <c r="AO49" i="1"/>
  <c r="AO50" i="1"/>
  <c r="AO51" i="1"/>
  <c r="AO52" i="1"/>
  <c r="AO53" i="1"/>
  <c r="AO54" i="1"/>
  <c r="AO55" i="1"/>
  <c r="AO56" i="1"/>
  <c r="AO57" i="1"/>
  <c r="AO58" i="1"/>
  <c r="AO59" i="1"/>
  <c r="AO60" i="1"/>
  <c r="AO61" i="1"/>
  <c r="AO62" i="1"/>
  <c r="AO63" i="1"/>
  <c r="AO64" i="1"/>
  <c r="AO65" i="1"/>
  <c r="AO66" i="1"/>
  <c r="AO67" i="1"/>
  <c r="AO68" i="1"/>
  <c r="AO69" i="1"/>
  <c r="AO70" i="1"/>
  <c r="AO71" i="1"/>
  <c r="AO72" i="1"/>
  <c r="AO73" i="1"/>
  <c r="AO2" i="1"/>
  <c r="AM3" i="1"/>
  <c r="AM4" i="1"/>
  <c r="AM5" i="1"/>
  <c r="AM6" i="1"/>
  <c r="AM7" i="1"/>
  <c r="AM8" i="1"/>
  <c r="AM9" i="1"/>
  <c r="AM10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29" i="1"/>
  <c r="AM30" i="1"/>
  <c r="AM31" i="1"/>
  <c r="AM32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2" i="1"/>
  <c r="AM53" i="1"/>
  <c r="AM54" i="1"/>
  <c r="AM55" i="1"/>
  <c r="AM56" i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AM73" i="1"/>
  <c r="AM2" i="1"/>
  <c r="AK3" i="1"/>
  <c r="AK4" i="1"/>
  <c r="AK5" i="1"/>
  <c r="AK6" i="1"/>
  <c r="AK7" i="1"/>
  <c r="AK8" i="1"/>
  <c r="AK9" i="1"/>
  <c r="AK10" i="1"/>
  <c r="AK11" i="1"/>
  <c r="AK12" i="1"/>
  <c r="AK13" i="1"/>
  <c r="AK14" i="1"/>
  <c r="AK15" i="1"/>
  <c r="AK16" i="1"/>
  <c r="AK17" i="1"/>
  <c r="AK2" i="1"/>
  <c r="AI73" i="1"/>
  <c r="AI3" i="1"/>
  <c r="AI4" i="1"/>
  <c r="AI5" i="1"/>
  <c r="AI6" i="1"/>
  <c r="AI7" i="1"/>
  <c r="AI8" i="1"/>
  <c r="AI9" i="1"/>
  <c r="AI10" i="1"/>
  <c r="AI11" i="1"/>
  <c r="AI12" i="1"/>
  <c r="AI13" i="1"/>
  <c r="AI14" i="1"/>
  <c r="AI15" i="1"/>
  <c r="AI16" i="1"/>
  <c r="AI17" i="1"/>
  <c r="AI18" i="1"/>
  <c r="AI19" i="1"/>
  <c r="AI20" i="1"/>
  <c r="AI21" i="1"/>
  <c r="AI22" i="1"/>
  <c r="AI23" i="1"/>
  <c r="AI24" i="1"/>
  <c r="AI25" i="1"/>
  <c r="AI26" i="1"/>
  <c r="AI27" i="1"/>
  <c r="AI28" i="1"/>
  <c r="AI29" i="1"/>
  <c r="AI30" i="1"/>
  <c r="AI31" i="1"/>
  <c r="AI32" i="1"/>
  <c r="AI33" i="1"/>
  <c r="AI34" i="1"/>
  <c r="AI35" i="1"/>
  <c r="AI36" i="1"/>
  <c r="AI37" i="1"/>
  <c r="AI38" i="1"/>
  <c r="AI39" i="1"/>
  <c r="AI40" i="1"/>
  <c r="AI41" i="1"/>
  <c r="AI42" i="1"/>
  <c r="AI43" i="1"/>
  <c r="AI44" i="1"/>
  <c r="AI45" i="1"/>
  <c r="AI46" i="1"/>
  <c r="AI47" i="1"/>
  <c r="AI48" i="1"/>
  <c r="AI49" i="1"/>
  <c r="AI50" i="1"/>
  <c r="AI51" i="1"/>
  <c r="AI52" i="1"/>
  <c r="AI53" i="1"/>
  <c r="AI54" i="1"/>
  <c r="AI55" i="1"/>
  <c r="AI56" i="1"/>
  <c r="AI57" i="1"/>
  <c r="AI58" i="1"/>
  <c r="AI59" i="1"/>
  <c r="AI60" i="1"/>
  <c r="AI61" i="1"/>
  <c r="AI62" i="1"/>
  <c r="AI63" i="1"/>
  <c r="AI64" i="1"/>
  <c r="AI65" i="1"/>
  <c r="AI66" i="1"/>
  <c r="AI67" i="1"/>
  <c r="AI68" i="1"/>
  <c r="AI69" i="1"/>
  <c r="AI70" i="1"/>
  <c r="AI71" i="1"/>
  <c r="AI72" i="1"/>
  <c r="AI2" i="1"/>
  <c r="AG3" i="1"/>
  <c r="AG4" i="1"/>
  <c r="AG5" i="1"/>
  <c r="AG6" i="1"/>
  <c r="AG7" i="1"/>
  <c r="AG8" i="1"/>
  <c r="AG9" i="1"/>
  <c r="AG10" i="1"/>
  <c r="AG11" i="1"/>
  <c r="AG12" i="1"/>
  <c r="AG14" i="1"/>
  <c r="AG15" i="1"/>
  <c r="AG16" i="1"/>
  <c r="AG17" i="1"/>
  <c r="AG18" i="1"/>
  <c r="AG19" i="1"/>
  <c r="AG20" i="1"/>
  <c r="AG21" i="1"/>
  <c r="AG22" i="1"/>
  <c r="AG23" i="1"/>
  <c r="AG24" i="1"/>
  <c r="AG25" i="1"/>
  <c r="AG26" i="1"/>
  <c r="AG27" i="1"/>
  <c r="AG28" i="1"/>
  <c r="AG29" i="1"/>
  <c r="AG30" i="1"/>
  <c r="AG31" i="1"/>
  <c r="AG32" i="1"/>
  <c r="AG33" i="1"/>
  <c r="AG34" i="1"/>
  <c r="AG35" i="1"/>
  <c r="AG36" i="1"/>
  <c r="AG37" i="1"/>
  <c r="AG38" i="1"/>
  <c r="AG39" i="1"/>
  <c r="AG40" i="1"/>
  <c r="AG41" i="1"/>
  <c r="AG42" i="1"/>
  <c r="AG43" i="1"/>
  <c r="AG44" i="1"/>
  <c r="AG45" i="1"/>
  <c r="AG46" i="1"/>
  <c r="AG47" i="1"/>
  <c r="AG48" i="1"/>
  <c r="AG49" i="1"/>
  <c r="AG50" i="1"/>
  <c r="AG51" i="1"/>
  <c r="AG52" i="1"/>
  <c r="AG53" i="1"/>
  <c r="AG54" i="1"/>
  <c r="AG55" i="1"/>
  <c r="AG56" i="1"/>
  <c r="AG57" i="1"/>
  <c r="AG58" i="1"/>
  <c r="AG59" i="1"/>
  <c r="AG60" i="1"/>
  <c r="AG61" i="1"/>
  <c r="AG62" i="1"/>
  <c r="AG63" i="1"/>
  <c r="AG64" i="1"/>
  <c r="AG65" i="1"/>
  <c r="AG66" i="1"/>
  <c r="AG67" i="1"/>
  <c r="AG68" i="1"/>
  <c r="AG69" i="1"/>
  <c r="AG70" i="1"/>
  <c r="AG71" i="1"/>
  <c r="AG72" i="1"/>
  <c r="AG73" i="1"/>
  <c r="AG2" i="1"/>
  <c r="AS110" i="1"/>
  <c r="AS111" i="1" s="1"/>
  <c r="AS74" i="1"/>
  <c r="AI74" i="1"/>
  <c r="AW74" i="1"/>
  <c r="AO74" i="1"/>
  <c r="AQ74" i="1"/>
  <c r="AM74" i="1"/>
  <c r="AE3" i="1"/>
  <c r="AE4" i="1"/>
  <c r="AE5" i="1"/>
  <c r="AE6" i="1"/>
  <c r="AE7" i="1"/>
  <c r="AE8" i="1"/>
  <c r="AE9" i="1"/>
  <c r="AE10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E30" i="1"/>
  <c r="AE31" i="1"/>
  <c r="AE32" i="1"/>
  <c r="AE33" i="1"/>
  <c r="AE34" i="1"/>
  <c r="AE35" i="1"/>
  <c r="AE36" i="1"/>
  <c r="AE37" i="1"/>
  <c r="AE38" i="1"/>
  <c r="AE39" i="1"/>
  <c r="AE40" i="1"/>
  <c r="AE41" i="1"/>
  <c r="AE42" i="1"/>
  <c r="AE43" i="1"/>
  <c r="AE44" i="1"/>
  <c r="AE45" i="1"/>
  <c r="AE46" i="1"/>
  <c r="AE47" i="1"/>
  <c r="AE48" i="1"/>
  <c r="AE49" i="1"/>
  <c r="AE50" i="1"/>
  <c r="AE51" i="1"/>
  <c r="AE52" i="1"/>
  <c r="AE53" i="1"/>
  <c r="AE54" i="1"/>
  <c r="AE55" i="1"/>
  <c r="AE56" i="1"/>
  <c r="AE57" i="1"/>
  <c r="AE58" i="1"/>
  <c r="AE59" i="1"/>
  <c r="AE60" i="1"/>
  <c r="AE61" i="1"/>
  <c r="AE62" i="1"/>
  <c r="AE63" i="1"/>
  <c r="AE64" i="1"/>
  <c r="AE65" i="1"/>
  <c r="AE66" i="1"/>
  <c r="AE67" i="1"/>
  <c r="AE68" i="1"/>
  <c r="AE69" i="1"/>
  <c r="AE70" i="1"/>
  <c r="AE71" i="1"/>
  <c r="AE72" i="1"/>
  <c r="AE73" i="1"/>
  <c r="AE2" i="1"/>
  <c r="AE74" i="1"/>
  <c r="AC3" i="1"/>
  <c r="AC4" i="1"/>
  <c r="AC5" i="1"/>
  <c r="AC6" i="1"/>
  <c r="AC7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0" i="1"/>
  <c r="AC21" i="1"/>
  <c r="AC22" i="1"/>
  <c r="AC23" i="1"/>
  <c r="AC24" i="1"/>
  <c r="AC25" i="1"/>
  <c r="AC26" i="1"/>
  <c r="AC27" i="1"/>
  <c r="AC28" i="1"/>
  <c r="AC29" i="1"/>
  <c r="AC30" i="1"/>
  <c r="AC31" i="1"/>
  <c r="AC32" i="1"/>
  <c r="AC33" i="1"/>
  <c r="AC34" i="1"/>
  <c r="AC35" i="1"/>
  <c r="AC36" i="1"/>
  <c r="AC37" i="1"/>
  <c r="AC38" i="1"/>
  <c r="AC39" i="1"/>
  <c r="AC40" i="1"/>
  <c r="AC41" i="1"/>
  <c r="AC42" i="1"/>
  <c r="AC43" i="1"/>
  <c r="AC44" i="1"/>
  <c r="AC45" i="1"/>
  <c r="AC46" i="1"/>
  <c r="AC47" i="1"/>
  <c r="AC48" i="1"/>
  <c r="AC49" i="1"/>
  <c r="AC50" i="1"/>
  <c r="AC51" i="1"/>
  <c r="AC52" i="1"/>
  <c r="AC53" i="1"/>
  <c r="AC54" i="1"/>
  <c r="AC55" i="1"/>
  <c r="AC56" i="1"/>
  <c r="AC57" i="1"/>
  <c r="AC58" i="1"/>
  <c r="AC59" i="1"/>
  <c r="AC60" i="1"/>
  <c r="AC61" i="1"/>
  <c r="AC62" i="1"/>
  <c r="AC63" i="1"/>
  <c r="AC64" i="1"/>
  <c r="AC65" i="1"/>
  <c r="AC66" i="1"/>
  <c r="AC67" i="1"/>
  <c r="AC68" i="1"/>
  <c r="AC69" i="1"/>
  <c r="AC70" i="1"/>
  <c r="AC71" i="1"/>
  <c r="AC72" i="1"/>
  <c r="AC73" i="1"/>
  <c r="W3" i="1"/>
  <c r="W4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5" i="1"/>
  <c r="W66" i="1"/>
  <c r="W67" i="1"/>
  <c r="W68" i="1"/>
  <c r="W69" i="1"/>
  <c r="W70" i="1"/>
  <c r="W71" i="1"/>
  <c r="W72" i="1"/>
  <c r="W73" i="1"/>
  <c r="W2" i="1"/>
  <c r="AC2" i="1"/>
  <c r="AA3" i="1"/>
  <c r="AA4" i="1"/>
  <c r="AA5" i="1"/>
  <c r="AA6" i="1"/>
  <c r="AA7" i="1"/>
  <c r="AA8" i="1"/>
  <c r="AA9" i="1"/>
  <c r="AA10" i="1"/>
  <c r="AA11" i="1"/>
  <c r="AA12" i="1"/>
  <c r="AA13" i="1"/>
  <c r="AA14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29" i="1"/>
  <c r="AA30" i="1"/>
  <c r="AA31" i="1"/>
  <c r="AA32" i="1"/>
  <c r="AA33" i="1"/>
  <c r="AA34" i="1"/>
  <c r="AA35" i="1"/>
  <c r="AA36" i="1"/>
  <c r="AA37" i="1"/>
  <c r="AA38" i="1"/>
  <c r="AA39" i="1"/>
  <c r="AA40" i="1"/>
  <c r="AA41" i="1"/>
  <c r="AA42" i="1"/>
  <c r="AA43" i="1"/>
  <c r="AA44" i="1"/>
  <c r="AA45" i="1"/>
  <c r="AA46" i="1"/>
  <c r="AA47" i="1"/>
  <c r="AA48" i="1"/>
  <c r="AA49" i="1"/>
  <c r="AA50" i="1"/>
  <c r="AA51" i="1"/>
  <c r="AA52" i="1"/>
  <c r="AA53" i="1"/>
  <c r="AA54" i="1"/>
  <c r="AA55" i="1"/>
  <c r="AA56" i="1"/>
  <c r="AA57" i="1"/>
  <c r="AA58" i="1"/>
  <c r="AA59" i="1"/>
  <c r="AA60" i="1"/>
  <c r="AA61" i="1"/>
  <c r="AA62" i="1"/>
  <c r="AA63" i="1"/>
  <c r="AA64" i="1"/>
  <c r="AA65" i="1"/>
  <c r="AA66" i="1"/>
  <c r="AA67" i="1"/>
  <c r="AA68" i="1"/>
  <c r="AA69" i="1"/>
  <c r="AA70" i="1"/>
  <c r="AA71" i="1"/>
  <c r="AA72" i="1"/>
  <c r="AA73" i="1"/>
  <c r="AA2" i="1"/>
  <c r="Y3" i="1"/>
  <c r="Y4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51" i="1"/>
  <c r="Y52" i="1"/>
  <c r="Y53" i="1"/>
  <c r="Y54" i="1"/>
  <c r="Y55" i="1"/>
  <c r="Y56" i="1"/>
  <c r="Y57" i="1"/>
  <c r="Y58" i="1"/>
  <c r="Y59" i="1"/>
  <c r="Y60" i="1"/>
  <c r="Y61" i="1"/>
  <c r="Y62" i="1"/>
  <c r="Y63" i="1"/>
  <c r="Y64" i="1"/>
  <c r="Y65" i="1"/>
  <c r="Y66" i="1"/>
  <c r="Y67" i="1"/>
  <c r="Y68" i="1"/>
  <c r="Y69" i="1"/>
  <c r="Y70" i="1"/>
  <c r="Y71" i="1"/>
  <c r="Y72" i="1"/>
  <c r="Y73" i="1"/>
  <c r="Y2" i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2" i="1"/>
  <c r="S2" i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Q2" i="1"/>
  <c r="O2" i="1"/>
  <c r="M2" i="1"/>
  <c r="S3" i="1"/>
  <c r="Q3" i="1"/>
  <c r="O3" i="1"/>
  <c r="M3" i="1"/>
  <c r="Y74" i="1"/>
  <c r="U74" i="1"/>
  <c r="W74" i="1"/>
  <c r="AG74" i="1"/>
  <c r="AK74" i="1"/>
  <c r="M74" i="1"/>
  <c r="AA74" i="1"/>
  <c r="AC74" i="1"/>
  <c r="Q74" i="1"/>
  <c r="O74" i="1"/>
  <c r="S74" i="1"/>
  <c r="AU2" i="1"/>
  <c r="AU74" i="1"/>
  <c r="U110" i="1" l="1"/>
  <c r="U111" i="1" s="1"/>
  <c r="Y110" i="1"/>
  <c r="Y111" i="1" s="1"/>
  <c r="AU110" i="1"/>
  <c r="AU111" i="1" s="1"/>
  <c r="AG110" i="1"/>
  <c r="AG111" i="1" s="1"/>
  <c r="M110" i="1"/>
  <c r="M111" i="1" s="1"/>
  <c r="AE110" i="1"/>
  <c r="AE111" i="1" s="1"/>
  <c r="AW110" i="1"/>
  <c r="AW111" i="1" s="1"/>
  <c r="AC110" i="1"/>
  <c r="AC111" i="1" s="1"/>
  <c r="Q110" i="1"/>
  <c r="Q111" i="1" s="1"/>
  <c r="AQ110" i="1"/>
  <c r="AQ111" i="1" s="1"/>
  <c r="O110" i="1"/>
  <c r="O111" i="1" s="1"/>
  <c r="AI110" i="1"/>
  <c r="AI111" i="1" s="1"/>
  <c r="AK110" i="1"/>
  <c r="AK111" i="1" s="1"/>
  <c r="AO110" i="1"/>
  <c r="AO111" i="1" s="1"/>
  <c r="AM110" i="1"/>
  <c r="AM111" i="1" s="1"/>
  <c r="S110" i="1"/>
  <c r="S111" i="1" s="1"/>
  <c r="W110" i="1"/>
  <c r="W111" i="1" s="1"/>
  <c r="AA110" i="1"/>
  <c r="AA111" i="1" s="1"/>
</calcChain>
</file>

<file path=xl/sharedStrings.xml><?xml version="1.0" encoding="utf-8"?>
<sst xmlns="http://schemas.openxmlformats.org/spreadsheetml/2006/main" count="2791" uniqueCount="285">
  <si>
    <t>Teams by Worl Ranking</t>
  </si>
  <si>
    <t>Stage</t>
  </si>
  <si>
    <t>Date &amp; Time (US EDT/UTC-4)</t>
  </si>
  <si>
    <t>Date (NZDT)</t>
  </si>
  <si>
    <t>Time (NZDT)</t>
  </si>
  <si>
    <t>Team 1</t>
  </si>
  <si>
    <t>Team 2</t>
  </si>
  <si>
    <t>Match #</t>
  </si>
  <si>
    <t>Location</t>
  </si>
  <si>
    <t>Result</t>
  </si>
  <si>
    <t>Steve Pick</t>
  </si>
  <si>
    <t>Steve Result</t>
  </si>
  <si>
    <t>Peter Hewitt Pick</t>
  </si>
  <si>
    <t>Peter Hewitt Result</t>
  </si>
  <si>
    <t>Sanit Pick</t>
  </si>
  <si>
    <t>Sanit Result</t>
  </si>
  <si>
    <t>Mark Smith Pick</t>
  </si>
  <si>
    <t>Mark Smith Result</t>
  </si>
  <si>
    <t>Chetan Pick</t>
  </si>
  <si>
    <t>Chetan Result</t>
  </si>
  <si>
    <t>Darren Pick</t>
  </si>
  <si>
    <t>Darren Result</t>
  </si>
  <si>
    <t>Milina Pick</t>
  </si>
  <si>
    <t>Milina Result</t>
  </si>
  <si>
    <t>Letty Pick</t>
  </si>
  <si>
    <t>Letty Result</t>
  </si>
  <si>
    <t>Thai Pick</t>
  </si>
  <si>
    <t>Thai Result</t>
  </si>
  <si>
    <t>Hugo Pick</t>
  </si>
  <si>
    <t>Hugo Result</t>
  </si>
  <si>
    <t>Mayank Pick</t>
  </si>
  <si>
    <t>Mayank Result</t>
  </si>
  <si>
    <t>Jonny Pick</t>
  </si>
  <si>
    <t>Jonny Result</t>
  </si>
  <si>
    <t>Santhosh Pick</t>
  </si>
  <si>
    <t>Santhosh Result</t>
  </si>
  <si>
    <t>Nume Pick</t>
  </si>
  <si>
    <t>Nume Result</t>
  </si>
  <si>
    <t>Ali Pick</t>
  </si>
  <si>
    <t>Ali Result</t>
  </si>
  <si>
    <t>Adrian Pick</t>
  </si>
  <si>
    <t>Adrian Result</t>
  </si>
  <si>
    <t>Shane Pick</t>
  </si>
  <si>
    <t>Shane Result</t>
  </si>
  <si>
    <t>Deepak Pick</t>
  </si>
  <si>
    <t>Deepak Result</t>
  </si>
  <si>
    <t>Tim S Pick</t>
  </si>
  <si>
    <t>Tim S Result</t>
  </si>
  <si>
    <t>Argentina</t>
  </si>
  <si>
    <t>Group A</t>
  </si>
  <si>
    <t>Thursday, June 11, at 3:00 PM</t>
  </si>
  <si>
    <t>Mexico</t>
  </si>
  <si>
    <t>South Africa</t>
  </si>
  <si>
    <t>Estadio Azteca, Mexico City</t>
  </si>
  <si>
    <t>Spain</t>
  </si>
  <si>
    <t>Thursday, June 11, at 10:00 PM</t>
  </si>
  <si>
    <t>South Korea</t>
  </si>
  <si>
    <t>Czechia</t>
  </si>
  <si>
    <t>Estadio Akron, Zapopan</t>
  </si>
  <si>
    <t>Draw</t>
  </si>
  <si>
    <t>France</t>
  </si>
  <si>
    <t>Group B</t>
  </si>
  <si>
    <t>Friday, June 12, at 3:00 PM</t>
  </si>
  <si>
    <t>07:00</t>
  </si>
  <si>
    <t>Canada</t>
  </si>
  <si>
    <t>Bosnia and Herzegovina</t>
  </si>
  <si>
    <t>BMO Field, Toronto</t>
  </si>
  <si>
    <t>England</t>
  </si>
  <si>
    <t>Group D</t>
  </si>
  <si>
    <t>Friday, June 12, at 9:00 PM</t>
  </si>
  <si>
    <t>13:00</t>
  </si>
  <si>
    <t>United States</t>
  </si>
  <si>
    <t>Paraguay</t>
  </si>
  <si>
    <t>SoFi Stadium, Inglewood</t>
  </si>
  <si>
    <t>Portugal</t>
  </si>
  <si>
    <t>Saturday, June 13, at 3:00 PM</t>
  </si>
  <si>
    <t>Qatar</t>
  </si>
  <si>
    <t>Switzerland</t>
  </si>
  <si>
    <t>Levi's Stadium, Santa Clara</t>
  </si>
  <si>
    <t>Brazil</t>
  </si>
  <si>
    <t>Group C</t>
  </si>
  <si>
    <t>Saturday, June 13, at 6:00 PM</t>
  </si>
  <si>
    <t>10:00</t>
  </si>
  <si>
    <t>Morocco</t>
  </si>
  <si>
    <t>MetLife Stadium, East Rutherford</t>
  </si>
  <si>
    <t>Saturday, June 13, at 9:00 PM</t>
  </si>
  <si>
    <t>Haiti</t>
  </si>
  <si>
    <t>Scotland</t>
  </si>
  <si>
    <t>Gillette Stadium, Foxborough</t>
  </si>
  <si>
    <t>Netherlands</t>
  </si>
  <si>
    <t>Saturday, June 13, at 11:59 PM</t>
  </si>
  <si>
    <t>16:00</t>
  </si>
  <si>
    <t>Australia</t>
  </si>
  <si>
    <t>Türkiye</t>
  </si>
  <si>
    <t>BC Place, Vancouver</t>
  </si>
  <si>
    <t>Turkiye</t>
  </si>
  <si>
    <t>Belgium</t>
  </si>
  <si>
    <t>Group E</t>
  </si>
  <si>
    <t>Sunday, June 14, at 1:00 PM</t>
  </si>
  <si>
    <t>Germany</t>
  </si>
  <si>
    <t>Curacao</t>
  </si>
  <si>
    <t>NRG Stadium, Houston</t>
  </si>
  <si>
    <t>Group F</t>
  </si>
  <si>
    <t>Sunday, June 14, at 4:00 PM</t>
  </si>
  <si>
    <t>Japan</t>
  </si>
  <si>
    <t>AT&amp;T Stadium, Arlington</t>
  </si>
  <si>
    <t>Croatia</t>
  </si>
  <si>
    <t>Sunday, June 14, at 7:00 PM</t>
  </si>
  <si>
    <t>Ivory Coast</t>
  </si>
  <si>
    <t>Ecuador</t>
  </si>
  <si>
    <t>Lincoln Financial Field, Philadelphia</t>
  </si>
  <si>
    <t>Colombia</t>
  </si>
  <si>
    <t>Sunday, June 14, at 10:00 PM</t>
  </si>
  <si>
    <t>Sweden</t>
  </si>
  <si>
    <t>Tunisia</t>
  </si>
  <si>
    <t>Estadio BBVA, Guadalupe</t>
  </si>
  <si>
    <t>Group H</t>
  </si>
  <si>
    <t>Monday, June 15, at 12:00 PM</t>
  </si>
  <si>
    <t>Cape Verde</t>
  </si>
  <si>
    <t>Mercedes-Benz Stadium, Atlanta</t>
  </si>
  <si>
    <t>Senegal</t>
  </si>
  <si>
    <t>Group G</t>
  </si>
  <si>
    <t>Monday, June 15, at 3:00 PM</t>
  </si>
  <si>
    <t>Egypt</t>
  </si>
  <si>
    <t>Lumen Field, Seattle</t>
  </si>
  <si>
    <t>Monday, June 15, at 6:00 PM</t>
  </si>
  <si>
    <t>Saudi Arabia</t>
  </si>
  <si>
    <t>Uruguay</t>
  </si>
  <si>
    <t>Hard Rock Stadium, Miami Gardens</t>
  </si>
  <si>
    <t>Monday, June 15, at 9:00 PM</t>
  </si>
  <si>
    <t>Iran</t>
  </si>
  <si>
    <t>New Zealand</t>
  </si>
  <si>
    <t>Group I</t>
  </si>
  <si>
    <t>Tuesday, June 16, at 3:00 PM</t>
  </si>
  <si>
    <t>Tuesday, June 16, at 6:00 PM</t>
  </si>
  <si>
    <t>Iraq</t>
  </si>
  <si>
    <t>Norway</t>
  </si>
  <si>
    <t>Group J</t>
  </si>
  <si>
    <t>Tuesday, June 16, at 9:00 PM</t>
  </si>
  <si>
    <t>Algeria</t>
  </si>
  <si>
    <t>Arrowhead Stadium, Kansas City</t>
  </si>
  <si>
    <t>Tuesday, June 16, at 11:59 PM</t>
  </si>
  <si>
    <t>Austria</t>
  </si>
  <si>
    <t>Jordan</t>
  </si>
  <si>
    <t>Group K</t>
  </si>
  <si>
    <t>Wednesday, June 17, at 1:00 PM</t>
  </si>
  <si>
    <t>DR Congo</t>
  </si>
  <si>
    <t>Potgugal</t>
  </si>
  <si>
    <t>Group L</t>
  </si>
  <si>
    <t>Wednesday, June 17, at 4:00 PM</t>
  </si>
  <si>
    <t>Wednesday, June 17, at 7:00 PM</t>
  </si>
  <si>
    <t>Ghana</t>
  </si>
  <si>
    <t>Panama</t>
  </si>
  <si>
    <t>Wednesday, June 17, at 10:00 PM</t>
  </si>
  <si>
    <t>Uzbekistan</t>
  </si>
  <si>
    <t>Thursday, June 18, at 12:00 PM</t>
  </si>
  <si>
    <t>Thursday, June 18, at 3:00 PM</t>
  </si>
  <si>
    <t>Thursday, June 18, at 6:00 PM</t>
  </si>
  <si>
    <t>Thursday, June 18, at 9:00 PM</t>
  </si>
  <si>
    <t>Friday, June 19, at 3:00 PM</t>
  </si>
  <si>
    <t>Friday, June 19, at 6:00 PM</t>
  </si>
  <si>
    <t>Friday, June 19, at 9:00 PM</t>
  </si>
  <si>
    <t>Friday, June 19, at 11:59 PM</t>
  </si>
  <si>
    <t xml:space="preserve">Turkiye </t>
  </si>
  <si>
    <t>Turkey</t>
  </si>
  <si>
    <t>Saturday, June 20, at 1:00 PM</t>
  </si>
  <si>
    <t>Saturday, June 20, at 4:00 PM</t>
  </si>
  <si>
    <t>Saturday, June 20, at 8:00 PM</t>
  </si>
  <si>
    <t>Saturday, June 20, at 11:59 PM</t>
  </si>
  <si>
    <t>Sunday, June 21, at 12:00 PM</t>
  </si>
  <si>
    <t>Sunday, June 21, at 3:00 PM</t>
  </si>
  <si>
    <t>Sofi Stadium, Inglewood</t>
  </si>
  <si>
    <t>Sunday, June 21, at 6:00 PM</t>
  </si>
  <si>
    <t>Sunday, June 21, at 9:00 PM</t>
  </si>
  <si>
    <t>Monday, June 22, at 1:00 PM</t>
  </si>
  <si>
    <t>Monday, June 22, at 5:00 PM</t>
  </si>
  <si>
    <t>Monday, June 22, at 8:00 PM</t>
  </si>
  <si>
    <t>Monday, June 22, at 11:00 PM</t>
  </si>
  <si>
    <t>Tuesday, June 23, at 1:00 PM</t>
  </si>
  <si>
    <t>Tuesday, June 23, at 4:00 PM</t>
  </si>
  <si>
    <t>Tuesday, June 23, at 7:00 PM</t>
  </si>
  <si>
    <t>Tuesday, June 23, at 10:00 PM</t>
  </si>
  <si>
    <t>Wednesday, June 24, at 3:00 PM</t>
  </si>
  <si>
    <t>Wednesday, June 24, at 6:00 PM</t>
  </si>
  <si>
    <t>Wednesday, June 24, at 9:00 PM</t>
  </si>
  <si>
    <t>Thursday, June 25, at 4:00 PM</t>
  </si>
  <si>
    <t>Thursday, June 25, at 7:00 PM</t>
  </si>
  <si>
    <t>Thursday, June 25, at 10:00 PM</t>
  </si>
  <si>
    <t>australia</t>
  </si>
  <si>
    <t>Friday, June 26, at 3:00 PM</t>
  </si>
  <si>
    <t>france</t>
  </si>
  <si>
    <t>senegal</t>
  </si>
  <si>
    <t>Friday, June 26, at 8:00 PM</t>
  </si>
  <si>
    <t>Friday, June 26, at 11:00 PM</t>
  </si>
  <si>
    <t>Saturday, June 27, at 5:00 PM</t>
  </si>
  <si>
    <t>Saturday, June 27, at 7:30 PM</t>
  </si>
  <si>
    <t>Saturday, June 27, at 10:00 PM</t>
  </si>
  <si>
    <t>14:00</t>
  </si>
  <si>
    <t>Pool Points</t>
  </si>
  <si>
    <t>Round of 32</t>
  </si>
  <si>
    <t>Sunday, June 28, at 3:00 PM</t>
  </si>
  <si>
    <t>Monday, June 29</t>
  </si>
  <si>
    <t>N/A</t>
  </si>
  <si>
    <t>Monday, June 29, at 1:00 PM</t>
  </si>
  <si>
    <t>Tuesday, June 30</t>
  </si>
  <si>
    <t>Monday, June 29, at 4:30 PM</t>
  </si>
  <si>
    <t>Monday, June 29, at 9:00 PM</t>
  </si>
  <si>
    <t>Tuesday, June 30, at 2:00 PM</t>
  </si>
  <si>
    <t>Wednesday, July 1</t>
  </si>
  <si>
    <t>Tuesday, June 30, at 5:00 PM</t>
  </si>
  <si>
    <t>Tuesday, June 30, at 9:00 PM</t>
  </si>
  <si>
    <t>Wednesday, July 1, at 12:00 PM</t>
  </si>
  <si>
    <t>Thursday, July 2</t>
  </si>
  <si>
    <t>Wednesday, July 1, at 4:00 PM</t>
  </si>
  <si>
    <t>Wednesday, July 1, at 8:00 PM</t>
  </si>
  <si>
    <t>Thursday, July 2, at 3:00 PM</t>
  </si>
  <si>
    <t>Friday, July 3</t>
  </si>
  <si>
    <t>Thursday, July 2, at 7:00 PM</t>
  </si>
  <si>
    <t>Thursday, July 2, at 11:00 PM</t>
  </si>
  <si>
    <t>Friday, July 3, at 2:00 PM</t>
  </si>
  <si>
    <t>Saturday, July 4</t>
  </si>
  <si>
    <t>Friday, July 3, at 6:00 PM</t>
  </si>
  <si>
    <t>Friday, July 3, at 9:30 PM</t>
  </si>
  <si>
    <t>Round of 16</t>
  </si>
  <si>
    <t>Saturday, July 4, at 1:00 PM</t>
  </si>
  <si>
    <t>Sunday, 5 July 2026</t>
  </si>
  <si>
    <t>Saturday, July 4, at 5:00 PM</t>
  </si>
  <si>
    <t>Sunday, July 5, at 4:00 PM</t>
  </si>
  <si>
    <t>Monday, 6 July 2026</t>
  </si>
  <si>
    <t>Sunday, July 5, at 8:00 PM</t>
  </si>
  <si>
    <t>Monday, July 6, at 3:00 PM</t>
  </si>
  <si>
    <t>Tuesday, 7 July 2026</t>
  </si>
  <si>
    <t>Tuesday, July 7, at 12:00 PM</t>
  </si>
  <si>
    <t>Wednesday, July 8, at 04:00 AM</t>
  </si>
  <si>
    <t>Wednesday, 8 July 2026</t>
  </si>
  <si>
    <t>Wednesday, July 8, at 08:00 AM</t>
  </si>
  <si>
    <t>Columbia</t>
  </si>
  <si>
    <t> </t>
  </si>
  <si>
    <t>Quarterfinals</t>
  </si>
  <si>
    <t>Friday, July 10, at 08:00 AM</t>
  </si>
  <si>
    <t>Friday, 10 July 2026</t>
  </si>
  <si>
    <t>Saturday, July 11, at 07:00 AM</t>
  </si>
  <si>
    <t>Saturday, 11 July 2026</t>
  </si>
  <si>
    <t>spain</t>
  </si>
  <si>
    <t>Saturday, July 11, at 5:00 PM</t>
  </si>
  <si>
    <t>Sunday, 12 July 2026</t>
  </si>
  <si>
    <t>norway</t>
  </si>
  <si>
    <t>Saturday, July 11, at 9:00 PM</t>
  </si>
  <si>
    <t>Semifinals</t>
  </si>
  <si>
    <t>Tuesday, July 14, at 3:00 PM</t>
  </si>
  <si>
    <t>Wednesday, 15 July 2026</t>
  </si>
  <si>
    <t>Wednesday, July 15, at 3:00 PM</t>
  </si>
  <si>
    <t>Thursday, 16 July 2026</t>
  </si>
  <si>
    <t>Third Place</t>
  </si>
  <si>
    <t>Saturday, July 18, at 5:00 PM</t>
  </si>
  <si>
    <t>Sunday, 19 July 2026</t>
  </si>
  <si>
    <t>L102</t>
  </si>
  <si>
    <t>Final</t>
  </si>
  <si>
    <t>Sunday, July 19, at 3:00 PM</t>
  </si>
  <si>
    <t>Monday, 20 July 2026</t>
  </si>
  <si>
    <t>W102</t>
  </si>
  <si>
    <t>Total</t>
  </si>
  <si>
    <t>Name</t>
  </si>
  <si>
    <t>Paid</t>
  </si>
  <si>
    <t>Peter Hewitt</t>
  </si>
  <si>
    <t>Chetan</t>
  </si>
  <si>
    <t>y</t>
  </si>
  <si>
    <t>Shane</t>
  </si>
  <si>
    <t>Mark</t>
  </si>
  <si>
    <t>Letty</t>
  </si>
  <si>
    <t>Milina</t>
  </si>
  <si>
    <t>Thai</t>
  </si>
  <si>
    <t>Darren</t>
  </si>
  <si>
    <t>Steve</t>
  </si>
  <si>
    <t>Sanit</t>
  </si>
  <si>
    <t>Nume</t>
  </si>
  <si>
    <t>Ali</t>
  </si>
  <si>
    <t>Hugo</t>
  </si>
  <si>
    <t>Deepak</t>
  </si>
  <si>
    <t>Mayank</t>
  </si>
  <si>
    <t>Tim S</t>
  </si>
  <si>
    <t>Jonny Scott</t>
  </si>
  <si>
    <t>Santhosh</t>
  </si>
  <si>
    <t>Adrian</t>
  </si>
  <si>
    <t>Bosnia and Herzagovina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</si>
</sst>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12" x14ac:knownFonts="1">
    <font>
      <sz val="11"/>
      <color theme="1"/>
      <name val="Aptos Narrow"/>
      <family val="2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sz val="11"/>
      <color rgb="FF242424"/>
      <name val="Aptos Narrow"/>
      <family val="2"/>
    </font>
    <font>
      <sz val="11"/>
      <color rgb="FF000000"/>
      <name val="Aptos Narrow"/>
      <family val="2"/>
    </font>
    <font>
      <sz val="10"/>
      <color rgb="FF000000"/>
      <name val="Arial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10"/>
      <color rgb="FF000000"/>
      <name val="Arial"/>
      <charset val="1"/>
    </font>
    <font>
      <sz val="10"/>
      <color theme="1"/>
      <name val="Arial"/>
    </font>
    <font>
      <sz val="10"/>
      <color rgb="FF000000"/>
      <name val="Arial"/>
    </font>
    <font>
      <sz val="11"/>
      <color rgb="FF242424"/>
      <name val="Aptos Narrow"/>
      <charset val="1"/>
    </font>
  </fonts>
  <fills count="4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rgb="FF00B050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2" fillId="0" borderId="1" xfId="0" applyFont="1" applyBorder="1" applyAlignment="1">
      <alignment horizontal="center" wrapText="1"/>
    </xf>
    <xf numFmtId="0" fontId="0" fillId="0" borderId="1" xfId="0" applyBorder="1"/>
    <xf numFmtId="0" fontId="1" fillId="2" borderId="1" xfId="0" applyFont="1" applyFill="1" applyBorder="1" applyAlignment="1">
      <alignment horizontal="center" wrapText="1"/>
    </xf>
    <xf numFmtId="0" fontId="2" fillId="2" borderId="1" xfId="0" applyFont="1" applyFill="1" applyBorder="1" applyAlignment="1">
      <alignment horizontal="center" wrapText="1"/>
    </xf>
    <xf numFmtId="0" fontId="2" fillId="3" borderId="1" xfId="0" applyFont="1" applyFill="1" applyBorder="1" applyAlignment="1">
      <alignment horizontal="center" wrapText="1"/>
    </xf>
    <xf numFmtId="0" fontId="0" fillId="0" borderId="1" xfId="0" applyBorder="1" applyAlignment="1">
      <alignment horizontal="center"/>
    </xf>
    <xf numFmtId="0" fontId="0" fillId="3" borderId="0" xfId="0" applyFill="1"/>
    <xf numFmtId="0" fontId="2" fillId="0" borderId="2" xfId="0" applyFont="1" applyBorder="1" applyAlignment="1">
      <alignment horizontal="center" wrapText="1"/>
    </xf>
    <xf numFmtId="164" fontId="1" fillId="2" borderId="1" xfId="0" applyNumberFormat="1" applyFont="1" applyFill="1" applyBorder="1" applyAlignment="1">
      <alignment horizontal="center" wrapText="1"/>
    </xf>
    <xf numFmtId="164" fontId="0" fillId="0" borderId="1" xfId="0" applyNumberFormat="1" applyBorder="1" applyAlignment="1">
      <alignment horizontal="center"/>
    </xf>
    <xf numFmtId="20" fontId="0" fillId="0" borderId="1" xfId="0" applyNumberFormat="1" applyBorder="1" applyAlignment="1">
      <alignment horizontal="center"/>
    </xf>
    <xf numFmtId="0" fontId="4" fillId="0" borderId="3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0" fillId="0" borderId="1" xfId="0" applyBorder="1" applyAlignment="1">
      <alignment horizontal="center" wrapText="1"/>
    </xf>
    <xf numFmtId="0" fontId="2" fillId="0" borderId="4" xfId="0" applyFont="1" applyBorder="1" applyAlignment="1">
      <alignment horizontal="center" wrapText="1"/>
    </xf>
    <xf numFmtId="164" fontId="2" fillId="2" borderId="5" xfId="0" applyNumberFormat="1" applyFont="1" applyFill="1" applyBorder="1" applyAlignment="1">
      <alignment horizontal="center" wrapText="1"/>
    </xf>
    <xf numFmtId="0" fontId="2" fillId="2" borderId="5" xfId="0" applyFont="1" applyFill="1" applyBorder="1" applyAlignment="1">
      <alignment horizontal="center" wrapText="1"/>
    </xf>
    <xf numFmtId="0" fontId="0" fillId="0" borderId="0" xfId="0" applyAlignment="1">
      <alignment horizontal="center"/>
    </xf>
    <xf numFmtId="0" fontId="7" fillId="3" borderId="1" xfId="0" applyFont="1" applyFill="1" applyBorder="1" applyAlignment="1">
      <alignment horizontal="center"/>
    </xf>
    <xf numFmtId="0" fontId="8" fillId="0" borderId="0" xfId="0" applyFont="1"/>
    <xf numFmtId="164" fontId="0" fillId="0" borderId="6" xfId="0" applyNumberFormat="1" applyBorder="1" applyAlignment="1">
      <alignment horizontal="center"/>
    </xf>
    <xf numFmtId="0" fontId="2" fillId="0" borderId="3" xfId="0" applyFont="1" applyBorder="1" applyAlignment="1">
      <alignment horizontal="center" wrapText="1"/>
    </xf>
    <xf numFmtId="164" fontId="0" fillId="0" borderId="8" xfId="0" applyNumberFormat="1" applyBorder="1" applyAlignment="1">
      <alignment horizontal="center"/>
    </xf>
    <xf numFmtId="0" fontId="2" fillId="0" borderId="7" xfId="0" applyFont="1" applyBorder="1" applyAlignment="1">
      <alignment horizontal="center" wrapText="1"/>
    </xf>
    <xf numFmtId="0" fontId="0" fillId="0" borderId="6" xfId="0" applyBorder="1" applyAlignment="1">
      <alignment horizontal="center"/>
    </xf>
    <xf numFmtId="0" fontId="9" fillId="0" borderId="1" xfId="0" applyFont="1" applyBorder="1" applyAlignment="1">
      <alignment horizontal="center" wrapText="1"/>
    </xf>
    <xf numFmtId="0" fontId="9" fillId="0" borderId="2" xfId="0" applyFont="1" applyBorder="1" applyAlignment="1">
      <alignment horizontal="center" wrapText="1"/>
    </xf>
    <xf numFmtId="0" fontId="10" fillId="0" borderId="9" xfId="0" applyFont="1" applyBorder="1" applyAlignment="1">
      <alignment wrapText="1"/>
    </xf>
    <xf numFmtId="0" fontId="11" fillId="0" borderId="0" xfId="0" applyFont="1"/>
    <xf numFmtId="0" fontId="10" fillId="0" borderId="9" xfId="0" applyFont="1" applyBorder="1" applyAlignment="1">
      <alignment horizontal="left" vertical="center" wrapText="1" indent="1"/>
    </xf>
    <xf numFmtId="0" fontId="0" fillId="0" borderId="1" xfId="0" applyBorder="1" applyAlignment="1">
      <alignment horizontal="left" vertical="center" indent="1"/>
    </xf>
    <xf numFmtId="0" fontId="10" fillId="0" borderId="9" xfId="0" applyFont="1" applyBorder="1" applyAlignment="1">
      <alignment horizontal="center" wrapText="1"/>
    </xf>
    <xf numFmtId="0" fontId="4" fillId="0" borderId="3" xfId="0" applyFont="1" applyBorder="1" applyAlignment="1">
      <alignment horizontal="center" wrapText="1"/>
    </xf>
    <xf numFmtId="20" fontId="4" fillId="0" borderId="3" xfId="0" applyNumberFormat="1" applyFont="1" applyBorder="1" applyAlignment="1">
      <alignment horizontal="center" wrapText="1"/>
    </xf>
    <xf numFmtId="0" fontId="10" fillId="0" borderId="2" xfId="0" applyFont="1" applyBorder="1" applyAlignment="1">
      <alignment horizontal="center" wrapText="1"/>
    </xf>
    <xf numFmtId="0" fontId="11" fillId="0" borderId="0" xfId="0" applyFont="1" applyAlignment="1">
      <alignment horizontal="center"/>
    </xf>
  </cellXfs>
  <cellStyles count="1">
    <cellStyle name="Normal" xfId="0" builtinId="0"/>
  </cellStyles>
  <dxfs count="69"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ont>
        <b/>
        <i val="0"/>
        <color theme="1"/>
      </font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4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7513F9-46C2-4F3F-B793-6A9C821BFEE4}">
  <dimension ref="A1:AW111"/>
  <sheetViews>
    <sheetView tabSelected="1" topLeftCell="D1" zoomScale="130" zoomScaleNormal="130" workbookViewId="0">
      <pane xSplit="7" ySplit="1" topLeftCell="R85" activePane="bottomRight" state="frozen"/>
      <selection pane="topRight" activeCell="K1" sqref="K1"/>
      <selection pane="bottomLeft" activeCell="D2" sqref="D2"/>
      <selection pane="bottomRight" activeCell="J112" sqref="J112"/>
    </sheetView>
  </sheetViews>
  <sheetFormatPr defaultColWidth="6.54296875" defaultRowHeight="14.5" x14ac:dyDescent="0.35"/>
  <cols>
    <col min="1" max="1" width="21.54296875" style="6" bestFit="1" customWidth="1"/>
    <col min="2" max="2" width="7.1796875" style="6" customWidth="1"/>
    <col min="3" max="3" width="11.81640625" style="6" bestFit="1" customWidth="1"/>
    <col min="4" max="4" width="30.81640625" style="6" hidden="1" customWidth="1"/>
    <col min="5" max="5" width="23.453125" style="10" bestFit="1" customWidth="1"/>
    <col min="6" max="6" width="9" style="6" customWidth="1"/>
    <col min="7" max="8" width="12.1796875" style="6" bestFit="1" customWidth="1"/>
    <col min="9" max="9" width="6.453125" style="6" bestFit="1" customWidth="1"/>
    <col min="10" max="10" width="31.54296875" style="6" bestFit="1" customWidth="1"/>
    <col min="11" max="11" width="11.453125" style="6" bestFit="1" customWidth="1"/>
    <col min="12" max="12" width="12.453125" style="6" bestFit="1" customWidth="1"/>
    <col min="13" max="13" width="15.81640625" style="6" customWidth="1"/>
    <col min="14" max="14" width="12.453125" style="6" bestFit="1" customWidth="1"/>
    <col min="15" max="15" width="9" style="6" bestFit="1" customWidth="1"/>
    <col min="16" max="16" width="12.453125" style="6" bestFit="1" customWidth="1"/>
    <col min="17" max="17" width="13.1796875" style="6" customWidth="1"/>
    <col min="18" max="18" width="12.453125" style="6" bestFit="1" customWidth="1"/>
    <col min="19" max="19" width="9" style="6" bestFit="1" customWidth="1"/>
    <col min="20" max="20" width="11.54296875" style="6" customWidth="1"/>
    <col min="21" max="21" width="9.453125" style="6" bestFit="1" customWidth="1"/>
    <col min="22" max="22" width="15" style="6" customWidth="1"/>
    <col min="23" max="23" width="9.453125" style="6" bestFit="1" customWidth="1"/>
    <col min="24" max="24" width="12.1796875" style="6" bestFit="1" customWidth="1"/>
    <col min="25" max="25" width="9.453125" style="6" bestFit="1" customWidth="1"/>
    <col min="26" max="26" width="14" style="6" customWidth="1"/>
    <col min="27" max="27" width="9.453125" style="6" bestFit="1" customWidth="1"/>
    <col min="28" max="28" width="12.453125" style="6" bestFit="1" customWidth="1"/>
    <col min="29" max="29" width="9.453125" style="6" bestFit="1" customWidth="1"/>
    <col min="30" max="30" width="12.453125" style="6" bestFit="1" customWidth="1"/>
    <col min="31" max="31" width="9.453125" style="6" bestFit="1" customWidth="1"/>
    <col min="32" max="32" width="12.453125" style="6" bestFit="1" customWidth="1"/>
    <col min="33" max="33" width="9.453125" style="6" bestFit="1" customWidth="1"/>
    <col min="34" max="34" width="18.54296875" style="6" bestFit="1" customWidth="1"/>
    <col min="35" max="35" width="9.453125" style="6" bestFit="1" customWidth="1"/>
    <col min="36" max="36" width="12.453125" style="6" bestFit="1" customWidth="1"/>
    <col min="37" max="37" width="12.54296875" style="6" customWidth="1"/>
    <col min="38" max="38" width="12.453125" style="6" bestFit="1" customWidth="1"/>
    <col min="39" max="39" width="9.453125" style="6" bestFit="1" customWidth="1"/>
    <col min="40" max="40" width="22.54296875" style="6" bestFit="1" customWidth="1"/>
    <col min="41" max="41" width="9.453125" style="6" bestFit="1" customWidth="1"/>
    <col min="42" max="42" width="22.54296875" style="6" bestFit="1" customWidth="1"/>
    <col min="43" max="43" width="9.453125" style="6" bestFit="1" customWidth="1"/>
    <col min="44" max="44" width="22.54296875" style="6" bestFit="1" customWidth="1"/>
    <col min="45" max="45" width="9.453125" style="6" bestFit="1" customWidth="1"/>
    <col min="46" max="46" width="22.453125" style="6" bestFit="1" customWidth="1"/>
    <col min="47" max="47" width="9.453125" style="6" bestFit="1" customWidth="1"/>
    <col min="48" max="48" width="12.81640625" style="6" bestFit="1" customWidth="1"/>
    <col min="49" max="49" width="15.1796875" style="6" customWidth="1"/>
    <col min="50" max="16384" width="6.54296875" style="6"/>
  </cols>
  <sheetData>
    <row r="1" spans="1:49" ht="39.5" x14ac:dyDescent="0.35">
      <c r="A1" s="3" t="s">
        <v>0</v>
      </c>
      <c r="B1" s="3"/>
      <c r="C1" s="3" t="s">
        <v>1</v>
      </c>
      <c r="D1" s="3" t="s">
        <v>2</v>
      </c>
      <c r="E1" s="9" t="s">
        <v>3</v>
      </c>
      <c r="F1" s="3" t="s">
        <v>4</v>
      </c>
      <c r="G1" s="3" t="s">
        <v>5</v>
      </c>
      <c r="H1" s="3" t="s">
        <v>6</v>
      </c>
      <c r="I1" s="3" t="s">
        <v>7</v>
      </c>
      <c r="J1" s="3" t="s">
        <v>8</v>
      </c>
      <c r="K1" s="3" t="s">
        <v>9</v>
      </c>
      <c r="L1" s="3" t="s">
        <v>10</v>
      </c>
      <c r="M1" s="3" t="s">
        <v>11</v>
      </c>
      <c r="N1" s="3" t="s">
        <v>12</v>
      </c>
      <c r="O1" s="3" t="s">
        <v>13</v>
      </c>
      <c r="P1" s="3" t="s">
        <v>14</v>
      </c>
      <c r="Q1" s="3" t="s">
        <v>15</v>
      </c>
      <c r="R1" s="3" t="s">
        <v>16</v>
      </c>
      <c r="S1" s="3" t="s">
        <v>17</v>
      </c>
      <c r="T1" s="3" t="s">
        <v>18</v>
      </c>
      <c r="U1" s="3" t="s">
        <v>19</v>
      </c>
      <c r="V1" s="3" t="s">
        <v>20</v>
      </c>
      <c r="W1" s="3" t="s">
        <v>21</v>
      </c>
      <c r="X1" s="3" t="s">
        <v>22</v>
      </c>
      <c r="Y1" s="3" t="s">
        <v>23</v>
      </c>
      <c r="Z1" s="3" t="s">
        <v>24</v>
      </c>
      <c r="AA1" s="3" t="s">
        <v>25</v>
      </c>
      <c r="AB1" s="3" t="s">
        <v>26</v>
      </c>
      <c r="AC1" s="3" t="s">
        <v>27</v>
      </c>
      <c r="AD1" s="3" t="s">
        <v>28</v>
      </c>
      <c r="AE1" s="3" t="s">
        <v>29</v>
      </c>
      <c r="AF1" s="3" t="s">
        <v>30</v>
      </c>
      <c r="AG1" s="3" t="s">
        <v>31</v>
      </c>
      <c r="AH1" s="3" t="s">
        <v>32</v>
      </c>
      <c r="AI1" s="3" t="s">
        <v>33</v>
      </c>
      <c r="AJ1" s="3" t="s">
        <v>34</v>
      </c>
      <c r="AK1" s="3" t="s">
        <v>35</v>
      </c>
      <c r="AL1" s="3" t="s">
        <v>36</v>
      </c>
      <c r="AM1" s="3" t="s">
        <v>37</v>
      </c>
      <c r="AN1" s="3" t="s">
        <v>38</v>
      </c>
      <c r="AO1" s="3" t="s">
        <v>39</v>
      </c>
      <c r="AP1" s="3" t="s">
        <v>40</v>
      </c>
      <c r="AQ1" s="3" t="s">
        <v>41</v>
      </c>
      <c r="AR1" s="3" t="s">
        <v>42</v>
      </c>
      <c r="AS1" s="3" t="s">
        <v>43</v>
      </c>
      <c r="AT1" s="3" t="s">
        <v>44</v>
      </c>
      <c r="AU1" s="3" t="s">
        <v>45</v>
      </c>
      <c r="AV1" s="3" t="s">
        <v>46</v>
      </c>
      <c r="AW1" s="3" t="s">
        <v>47</v>
      </c>
    </row>
    <row r="2" spans="1:49" ht="20.25" customHeight="1" x14ac:dyDescent="0.35">
      <c r="A2" s="1" t="s">
        <v>48</v>
      </c>
      <c r="B2" s="6">
        <v>1</v>
      </c>
      <c r="C2" s="1" t="s">
        <v>49</v>
      </c>
      <c r="D2" s="1" t="s">
        <v>50</v>
      </c>
      <c r="E2" s="10">
        <v>46185</v>
      </c>
      <c r="F2" s="11">
        <v>0.29166666666666669</v>
      </c>
      <c r="G2" s="1" t="s">
        <v>51</v>
      </c>
      <c r="H2" s="1" t="s">
        <v>52</v>
      </c>
      <c r="I2" s="1">
        <v>1</v>
      </c>
      <c r="J2" s="1" t="s">
        <v>53</v>
      </c>
      <c r="K2" s="1" t="s">
        <v>51</v>
      </c>
      <c r="L2" s="1" t="s">
        <v>51</v>
      </c>
      <c r="M2" s="1" t="str">
        <f>IF(ISBLANK(K2),"TBP",IF(L2=K2,"Matched","No Match"))</f>
        <v>Matched</v>
      </c>
      <c r="N2" s="1" t="s">
        <v>51</v>
      </c>
      <c r="O2" s="1" t="str">
        <f>IF(ISBLANK(K2),"TBP",IF(N2=K2,"Matched","No Match"))</f>
        <v>Matched</v>
      </c>
      <c r="P2" s="1" t="s">
        <v>51</v>
      </c>
      <c r="Q2" s="1" t="str">
        <f>IF(ISBLANK(K2),"TBP",IF(P2=K2,"Matched","No Match"))</f>
        <v>Matched</v>
      </c>
      <c r="R2" s="1" t="s">
        <v>51</v>
      </c>
      <c r="S2" s="1" t="str">
        <f>IF(ISBLANK(K2),"TBP",IF(R2=K2,"Matched","No Match"))</f>
        <v>Matched</v>
      </c>
      <c r="T2" s="6" t="s">
        <v>51</v>
      </c>
      <c r="U2" s="6" t="str">
        <f>IF(ISBLANK(K2),"TBP",IF(T2=K2,"Matched","No Match"))</f>
        <v>Matched</v>
      </c>
      <c r="V2" s="6" t="s">
        <v>51</v>
      </c>
      <c r="W2" s="6" t="str">
        <f>IF(ISBLANK(K2),"TBP",IF(V2=K2,"Matched","No Match"))</f>
        <v>Matched</v>
      </c>
      <c r="X2" s="6" t="s">
        <v>51</v>
      </c>
      <c r="Y2" s="6" t="str">
        <f>IF(ISBLANK(K2),"TBP",IF(X2=K2,"Matched","No Match"))</f>
        <v>Matched</v>
      </c>
      <c r="Z2" s="1" t="s">
        <v>51</v>
      </c>
      <c r="AA2" s="6" t="str">
        <f>IF(ISBLANK(K2),"TBP",IF(Z2=K2,"Matched","No Match"))</f>
        <v>Matched</v>
      </c>
      <c r="AB2" s="6" t="s">
        <v>51</v>
      </c>
      <c r="AC2" s="6" t="str">
        <f>IF(ISBLANK(K2),"TBP",IF(AB2=K2,"Matched","No Match"))</f>
        <v>Matched</v>
      </c>
      <c r="AD2" s="6" t="s">
        <v>51</v>
      </c>
      <c r="AE2" s="6" t="str">
        <f>IF(ISBLANK(K2),"TBP",IF(AD2=K2,"Matched","No Match"))</f>
        <v>Matched</v>
      </c>
      <c r="AF2" s="6" t="s">
        <v>51</v>
      </c>
      <c r="AG2" s="6" t="str">
        <f>IF(ISBLANK(K2),"TBP",IF(AF2=K2,"Matched","No Match"))</f>
        <v>Matched</v>
      </c>
      <c r="AH2" s="6" t="s">
        <v>51</v>
      </c>
      <c r="AI2" s="6" t="str">
        <f>IF(ISBLANK(K2),"TBP",IF(AH2=K2,"Matched","No Match"))</f>
        <v>Matched</v>
      </c>
      <c r="AJ2" s="6" t="s">
        <v>51</v>
      </c>
      <c r="AK2" s="6" t="str">
        <f>IF(ISBLANK(K2),"TBP",IF(AJ2=K2,"Matched","No Match"))</f>
        <v>Matched</v>
      </c>
      <c r="AL2" s="12" t="s">
        <v>51</v>
      </c>
      <c r="AM2" s="6" t="str">
        <f>IF(ISBLANK(K2),"TBP",IF(AL2=K2,"Matched","No Match"))</f>
        <v>Matched</v>
      </c>
      <c r="AN2" s="6" t="s">
        <v>51</v>
      </c>
      <c r="AO2" s="6" t="str">
        <f>IF(ISBLANK(K2),"TBP",IF(AN2=K2,"Matched","No Match"))</f>
        <v>Matched</v>
      </c>
      <c r="AP2" s="6" t="s">
        <v>51</v>
      </c>
      <c r="AQ2" s="6" t="str">
        <f>IF(ISBLANK(K2),"TBP",IF(AP2=K2,"Matched","No Match"))</f>
        <v>Matched</v>
      </c>
      <c r="AR2" s="6" t="s">
        <v>51</v>
      </c>
      <c r="AS2" s="6" t="str">
        <f>IF(ISBLANK(G2),"TBP",IF(AR2=K2,"Matched","No Match"))</f>
        <v>Matched</v>
      </c>
      <c r="AT2" s="13" t="s">
        <v>51</v>
      </c>
      <c r="AU2" s="6" t="str">
        <f>AS2</f>
        <v>Matched</v>
      </c>
      <c r="AV2" s="14" t="s">
        <v>51</v>
      </c>
      <c r="AW2" s="6" t="str">
        <f>IF(ISBLANK(K2),"TBP",IF(AV2=K2,"Matched","No Match"))</f>
        <v>Matched</v>
      </c>
    </row>
    <row r="3" spans="1:49" x14ac:dyDescent="0.35">
      <c r="A3" s="1" t="s">
        <v>54</v>
      </c>
      <c r="B3" s="6">
        <v>2</v>
      </c>
      <c r="C3" s="1" t="s">
        <v>49</v>
      </c>
      <c r="D3" s="1" t="s">
        <v>55</v>
      </c>
      <c r="E3" s="10">
        <v>46185</v>
      </c>
      <c r="F3" s="11">
        <v>0.58333333333333337</v>
      </c>
      <c r="G3" s="1" t="s">
        <v>56</v>
      </c>
      <c r="H3" s="1" t="s">
        <v>57</v>
      </c>
      <c r="I3" s="1">
        <v>2</v>
      </c>
      <c r="J3" s="1" t="s">
        <v>58</v>
      </c>
      <c r="K3" s="1" t="s">
        <v>56</v>
      </c>
      <c r="L3" s="1" t="s">
        <v>59</v>
      </c>
      <c r="M3" s="1" t="str">
        <f t="shared" ref="M3:M66" si="0">IF(ISBLANK(K3),"TBP",IF(L3=K3,"Matched","No Match"))</f>
        <v>No Match</v>
      </c>
      <c r="N3" s="15" t="s">
        <v>56</v>
      </c>
      <c r="O3" s="1" t="str">
        <f t="shared" ref="O3:O66" si="1">IF(ISBLANK(K3),"TBP",IF(N3=K3,"Matched","No Match"))</f>
        <v>Matched</v>
      </c>
      <c r="P3" s="1" t="s">
        <v>56</v>
      </c>
      <c r="Q3" s="1" t="str">
        <f t="shared" ref="Q3:Q66" si="2">IF(ISBLANK(K3),"TBP",IF(P3=K3,"Matched","No Match"))</f>
        <v>Matched</v>
      </c>
      <c r="R3" s="1" t="s">
        <v>59</v>
      </c>
      <c r="S3" s="1" t="str">
        <f t="shared" ref="S3:S66" si="3">IF(ISBLANK(K3),"TBP",IF(R3=K3,"Matched","No Match"))</f>
        <v>No Match</v>
      </c>
      <c r="T3" s="1" t="s">
        <v>56</v>
      </c>
      <c r="U3" s="6" t="str">
        <f t="shared" ref="U3:U66" si="4">IF(ISBLANK(K3),"TBP",IF(T3=K3,"Matched","No Match"))</f>
        <v>Matched</v>
      </c>
      <c r="V3" s="1" t="s">
        <v>56</v>
      </c>
      <c r="W3" s="6" t="str">
        <f t="shared" ref="W3:W66" si="5">IF(ISBLANK(K3),"TBP",IF(V3=K3,"Matched","No Match"))</f>
        <v>Matched</v>
      </c>
      <c r="X3" s="6" t="s">
        <v>59</v>
      </c>
      <c r="Y3" s="6" t="str">
        <f t="shared" ref="Y3:Y66" si="6">IF(ISBLANK(K3),"TBP",IF(X3=K3,"Matched","No Match"))</f>
        <v>No Match</v>
      </c>
      <c r="Z3" s="1" t="s">
        <v>56</v>
      </c>
      <c r="AA3" s="6" t="str">
        <f t="shared" ref="AA3:AA66" si="7">IF(ISBLANK(K3),"TBP",IF(Z3=K3,"Matched","No Match"))</f>
        <v>Matched</v>
      </c>
      <c r="AB3" s="6" t="s">
        <v>59</v>
      </c>
      <c r="AC3" s="6" t="str">
        <f t="shared" ref="AC3:AC66" si="8">IF(ISBLANK(K3),"TBP",IF(AB3=K3,"Matched","No Match"))</f>
        <v>No Match</v>
      </c>
      <c r="AD3" s="6" t="s">
        <v>59</v>
      </c>
      <c r="AE3" s="6" t="str">
        <f t="shared" ref="AE3:AE66" si="9">IF(ISBLANK(K3),"TBP",IF(AD3=K3,"Matched","No Match"))</f>
        <v>No Match</v>
      </c>
      <c r="AF3" s="6" t="s">
        <v>59</v>
      </c>
      <c r="AG3" s="6" t="str">
        <f t="shared" ref="AG3:AG66" si="10">IF(ISBLANK(K3),"TBP",IF(AF3=K3,"Matched","No Match"))</f>
        <v>No Match</v>
      </c>
      <c r="AH3" s="6" t="s">
        <v>59</v>
      </c>
      <c r="AI3" s="6" t="str">
        <f t="shared" ref="AI3:AI66" si="11">IF(ISBLANK(K3),"TBP",IF(AH3=K3,"Matched","No Match"))</f>
        <v>No Match</v>
      </c>
      <c r="AJ3" s="6" t="s">
        <v>59</v>
      </c>
      <c r="AK3" s="6" t="str">
        <f t="shared" ref="AK3:AK66" si="12">IF(ISBLANK(K3),"TBP",IF(AJ3=K3,"Matched","No Match"))</f>
        <v>No Match</v>
      </c>
      <c r="AL3" s="12" t="s">
        <v>56</v>
      </c>
      <c r="AM3" s="6" t="str">
        <f t="shared" ref="AM3:AM66" si="13">IF(ISBLANK(K3),"TBP",IF(AL3=K3,"Matched","No Match"))</f>
        <v>Matched</v>
      </c>
      <c r="AN3" s="6" t="s">
        <v>56</v>
      </c>
      <c r="AO3" s="6" t="str">
        <f t="shared" ref="AO3:AO66" si="14">IF(ISBLANK(K3),"TBP",IF(AN3=K3,"Matched","No Match"))</f>
        <v>Matched</v>
      </c>
      <c r="AP3" s="6" t="s">
        <v>57</v>
      </c>
      <c r="AQ3" s="6" t="str">
        <f t="shared" ref="AQ3:AQ66" si="15">IF(ISBLANK(K3),"TBP",IF(AP3=K3,"Matched","No Match"))</f>
        <v>No Match</v>
      </c>
      <c r="AR3" s="6" t="s">
        <v>56</v>
      </c>
      <c r="AS3" s="6" t="str">
        <f t="shared" ref="AS3:AS66" si="16">IF(ISBLANK(G3),"TBP",IF(AR3=K3,"Matched","No Match"))</f>
        <v>Matched</v>
      </c>
      <c r="AT3" s="13" t="s">
        <v>56</v>
      </c>
      <c r="AU3" s="6" t="str">
        <f t="shared" ref="AU3:AU66" si="17">IF(ISBLANK(K3),"TBP",IF(AT3=K3,"Matched","No Match"))</f>
        <v>Matched</v>
      </c>
      <c r="AV3" s="14" t="s">
        <v>56</v>
      </c>
      <c r="AW3" s="6" t="str">
        <f t="shared" ref="AW3:AW66" si="18">IF(ISBLANK(K3),"TBP",IF(AV3=K3,"Matched","No Match"))</f>
        <v>Matched</v>
      </c>
    </row>
    <row r="4" spans="1:49" ht="26" x14ac:dyDescent="0.35">
      <c r="A4" s="1" t="s">
        <v>60</v>
      </c>
      <c r="B4" s="6">
        <v>3</v>
      </c>
      <c r="C4" s="1" t="s">
        <v>61</v>
      </c>
      <c r="D4" s="1" t="s">
        <v>62</v>
      </c>
      <c r="E4" s="10">
        <v>46186</v>
      </c>
      <c r="F4" s="6" t="s">
        <v>63</v>
      </c>
      <c r="G4" s="1" t="s">
        <v>64</v>
      </c>
      <c r="H4" s="1" t="s">
        <v>65</v>
      </c>
      <c r="I4" s="1">
        <v>3</v>
      </c>
      <c r="J4" s="1" t="s">
        <v>66</v>
      </c>
      <c r="K4" s="1" t="s">
        <v>59</v>
      </c>
      <c r="L4" s="1" t="s">
        <v>64</v>
      </c>
      <c r="M4" s="1" t="str">
        <f t="shared" si="0"/>
        <v>No Match</v>
      </c>
      <c r="N4" s="6" t="s">
        <v>59</v>
      </c>
      <c r="O4" s="1" t="str">
        <f t="shared" si="1"/>
        <v>Matched</v>
      </c>
      <c r="P4" s="1" t="s">
        <v>64</v>
      </c>
      <c r="Q4" s="1" t="str">
        <f t="shared" si="2"/>
        <v>No Match</v>
      </c>
      <c r="R4" s="6" t="s">
        <v>64</v>
      </c>
      <c r="S4" s="1" t="str">
        <f t="shared" si="3"/>
        <v>No Match</v>
      </c>
      <c r="T4" s="1" t="s">
        <v>65</v>
      </c>
      <c r="U4" s="6" t="str">
        <f t="shared" si="4"/>
        <v>No Match</v>
      </c>
      <c r="V4" s="6" t="s">
        <v>64</v>
      </c>
      <c r="W4" s="6" t="str">
        <f t="shared" si="5"/>
        <v>No Match</v>
      </c>
      <c r="X4" s="6" t="s">
        <v>64</v>
      </c>
      <c r="Y4" s="6" t="str">
        <f t="shared" si="6"/>
        <v>No Match</v>
      </c>
      <c r="Z4" s="1" t="s">
        <v>64</v>
      </c>
      <c r="AA4" s="6" t="str">
        <f t="shared" si="7"/>
        <v>No Match</v>
      </c>
      <c r="AB4" s="6" t="s">
        <v>64</v>
      </c>
      <c r="AC4" s="6" t="str">
        <f t="shared" si="8"/>
        <v>No Match</v>
      </c>
      <c r="AD4" s="6" t="s">
        <v>64</v>
      </c>
      <c r="AE4" s="6" t="str">
        <f t="shared" si="9"/>
        <v>No Match</v>
      </c>
      <c r="AF4" s="6" t="s">
        <v>64</v>
      </c>
      <c r="AG4" s="6" t="str">
        <f t="shared" si="10"/>
        <v>No Match</v>
      </c>
      <c r="AH4" s="6" t="s">
        <v>59</v>
      </c>
      <c r="AI4" s="6" t="str">
        <f t="shared" si="11"/>
        <v>Matched</v>
      </c>
      <c r="AJ4" s="6" t="s">
        <v>64</v>
      </c>
      <c r="AK4" s="6" t="str">
        <f t="shared" si="12"/>
        <v>No Match</v>
      </c>
      <c r="AL4" s="12" t="s">
        <v>64</v>
      </c>
      <c r="AM4" s="6" t="str">
        <f t="shared" si="13"/>
        <v>No Match</v>
      </c>
      <c r="AN4" s="6" t="s">
        <v>64</v>
      </c>
      <c r="AO4" s="6" t="str">
        <f t="shared" si="14"/>
        <v>No Match</v>
      </c>
      <c r="AP4" s="6" t="s">
        <v>65</v>
      </c>
      <c r="AQ4" s="6" t="str">
        <f t="shared" si="15"/>
        <v>No Match</v>
      </c>
      <c r="AR4" s="6" t="s">
        <v>65</v>
      </c>
      <c r="AS4" s="6" t="str">
        <f t="shared" si="16"/>
        <v>No Match</v>
      </c>
      <c r="AT4" s="13" t="s">
        <v>64</v>
      </c>
      <c r="AU4" s="6" t="str">
        <f t="shared" si="17"/>
        <v>No Match</v>
      </c>
      <c r="AV4" s="14" t="s">
        <v>64</v>
      </c>
      <c r="AW4" s="6" t="str">
        <f t="shared" si="18"/>
        <v>No Match</v>
      </c>
    </row>
    <row r="5" spans="1:49" ht="26" x14ac:dyDescent="0.35">
      <c r="A5" s="1" t="s">
        <v>67</v>
      </c>
      <c r="B5" s="6">
        <v>4</v>
      </c>
      <c r="C5" s="1" t="s">
        <v>68</v>
      </c>
      <c r="D5" s="1" t="s">
        <v>69</v>
      </c>
      <c r="E5" s="10">
        <v>46186</v>
      </c>
      <c r="F5" s="6" t="s">
        <v>70</v>
      </c>
      <c r="G5" s="1" t="s">
        <v>71</v>
      </c>
      <c r="H5" s="1" t="s">
        <v>72</v>
      </c>
      <c r="I5" s="1">
        <v>4</v>
      </c>
      <c r="J5" s="1" t="s">
        <v>73</v>
      </c>
      <c r="K5" s="1" t="s">
        <v>71</v>
      </c>
      <c r="L5" s="1" t="s">
        <v>72</v>
      </c>
      <c r="M5" s="1" t="str">
        <f t="shared" si="0"/>
        <v>No Match</v>
      </c>
      <c r="N5" s="1" t="s">
        <v>72</v>
      </c>
      <c r="O5" s="1" t="str">
        <f t="shared" si="1"/>
        <v>No Match</v>
      </c>
      <c r="P5" s="1" t="s">
        <v>71</v>
      </c>
      <c r="Q5" s="1" t="str">
        <f t="shared" si="2"/>
        <v>Matched</v>
      </c>
      <c r="R5" s="1" t="s">
        <v>71</v>
      </c>
      <c r="S5" s="1" t="str">
        <f t="shared" si="3"/>
        <v>Matched</v>
      </c>
      <c r="T5" s="1" t="s">
        <v>72</v>
      </c>
      <c r="U5" s="6" t="str">
        <f t="shared" si="4"/>
        <v>No Match</v>
      </c>
      <c r="V5" s="6" t="s">
        <v>71</v>
      </c>
      <c r="W5" s="6" t="str">
        <f t="shared" si="5"/>
        <v>Matched</v>
      </c>
      <c r="X5" s="1" t="s">
        <v>71</v>
      </c>
      <c r="Y5" s="6" t="str">
        <f t="shared" si="6"/>
        <v>Matched</v>
      </c>
      <c r="Z5" s="1" t="s">
        <v>71</v>
      </c>
      <c r="AA5" s="6" t="str">
        <f t="shared" si="7"/>
        <v>Matched</v>
      </c>
      <c r="AB5" s="6" t="s">
        <v>71</v>
      </c>
      <c r="AC5" s="6" t="str">
        <f t="shared" si="8"/>
        <v>Matched</v>
      </c>
      <c r="AD5" s="6" t="s">
        <v>71</v>
      </c>
      <c r="AE5" s="6" t="str">
        <f t="shared" si="9"/>
        <v>Matched</v>
      </c>
      <c r="AF5" s="6" t="s">
        <v>59</v>
      </c>
      <c r="AG5" s="6" t="str">
        <f t="shared" si="10"/>
        <v>No Match</v>
      </c>
      <c r="AH5" s="6" t="s">
        <v>71</v>
      </c>
      <c r="AI5" s="6" t="str">
        <f t="shared" si="11"/>
        <v>Matched</v>
      </c>
      <c r="AJ5" s="1" t="s">
        <v>59</v>
      </c>
      <c r="AK5" s="6" t="str">
        <f t="shared" si="12"/>
        <v>No Match</v>
      </c>
      <c r="AL5" s="12" t="s">
        <v>71</v>
      </c>
      <c r="AM5" s="6" t="str">
        <f t="shared" si="13"/>
        <v>Matched</v>
      </c>
      <c r="AN5" s="6" t="s">
        <v>71</v>
      </c>
      <c r="AO5" s="6" t="str">
        <f t="shared" si="14"/>
        <v>Matched</v>
      </c>
      <c r="AP5" s="6" t="s">
        <v>59</v>
      </c>
      <c r="AQ5" s="6" t="str">
        <f t="shared" si="15"/>
        <v>No Match</v>
      </c>
      <c r="AR5" s="6" t="s">
        <v>71</v>
      </c>
      <c r="AS5" s="6" t="str">
        <f t="shared" si="16"/>
        <v>Matched</v>
      </c>
      <c r="AT5" s="13" t="s">
        <v>71</v>
      </c>
      <c r="AU5" s="6" t="str">
        <f t="shared" si="17"/>
        <v>Matched</v>
      </c>
      <c r="AV5" s="14" t="s">
        <v>71</v>
      </c>
      <c r="AW5" s="6" t="str">
        <f t="shared" si="18"/>
        <v>Matched</v>
      </c>
    </row>
    <row r="6" spans="1:49" x14ac:dyDescent="0.35">
      <c r="A6" s="1" t="s">
        <v>74</v>
      </c>
      <c r="B6" s="6">
        <v>5</v>
      </c>
      <c r="C6" s="1" t="s">
        <v>61</v>
      </c>
      <c r="D6" s="1" t="s">
        <v>75</v>
      </c>
      <c r="E6" s="10">
        <v>46187</v>
      </c>
      <c r="F6" s="6" t="s">
        <v>63</v>
      </c>
      <c r="G6" s="1" t="s">
        <v>76</v>
      </c>
      <c r="H6" s="1" t="s">
        <v>77</v>
      </c>
      <c r="I6" s="1">
        <v>8</v>
      </c>
      <c r="J6" s="1" t="s">
        <v>78</v>
      </c>
      <c r="K6" s="1" t="s">
        <v>59</v>
      </c>
      <c r="L6" s="1" t="s">
        <v>77</v>
      </c>
      <c r="M6" s="1" t="str">
        <f t="shared" si="0"/>
        <v>No Match</v>
      </c>
      <c r="N6" s="1" t="s">
        <v>77</v>
      </c>
      <c r="O6" s="1" t="str">
        <f t="shared" si="1"/>
        <v>No Match</v>
      </c>
      <c r="P6" s="1" t="s">
        <v>77</v>
      </c>
      <c r="Q6" s="1" t="str">
        <f t="shared" si="2"/>
        <v>No Match</v>
      </c>
      <c r="R6" s="6" t="s">
        <v>59</v>
      </c>
      <c r="S6" s="1" t="str">
        <f t="shared" si="3"/>
        <v>Matched</v>
      </c>
      <c r="T6" s="1" t="s">
        <v>77</v>
      </c>
      <c r="U6" s="6" t="str">
        <f t="shared" si="4"/>
        <v>No Match</v>
      </c>
      <c r="V6" s="6" t="s">
        <v>77</v>
      </c>
      <c r="W6" s="6" t="str">
        <f t="shared" si="5"/>
        <v>No Match</v>
      </c>
      <c r="X6" s="1" t="s">
        <v>77</v>
      </c>
      <c r="Y6" s="6" t="str">
        <f t="shared" si="6"/>
        <v>No Match</v>
      </c>
      <c r="Z6" s="1" t="s">
        <v>76</v>
      </c>
      <c r="AA6" s="6" t="str">
        <f t="shared" si="7"/>
        <v>No Match</v>
      </c>
      <c r="AB6" s="1" t="s">
        <v>77</v>
      </c>
      <c r="AC6" s="6" t="str">
        <f t="shared" si="8"/>
        <v>No Match</v>
      </c>
      <c r="AD6" s="16" t="s">
        <v>77</v>
      </c>
      <c r="AE6" s="6" t="str">
        <f t="shared" si="9"/>
        <v>No Match</v>
      </c>
      <c r="AF6" s="6" t="s">
        <v>77</v>
      </c>
      <c r="AG6" s="6" t="str">
        <f t="shared" si="10"/>
        <v>No Match</v>
      </c>
      <c r="AH6" s="6" t="s">
        <v>77</v>
      </c>
      <c r="AI6" s="6" t="str">
        <f t="shared" si="11"/>
        <v>No Match</v>
      </c>
      <c r="AJ6" s="12" t="s">
        <v>77</v>
      </c>
      <c r="AK6" s="6" t="str">
        <f t="shared" si="12"/>
        <v>No Match</v>
      </c>
      <c r="AL6" s="12" t="s">
        <v>77</v>
      </c>
      <c r="AM6" s="6" t="str">
        <f t="shared" si="13"/>
        <v>No Match</v>
      </c>
      <c r="AN6" s="6" t="s">
        <v>77</v>
      </c>
      <c r="AO6" s="6" t="str">
        <f t="shared" si="14"/>
        <v>No Match</v>
      </c>
      <c r="AP6" s="6" t="s">
        <v>77</v>
      </c>
      <c r="AQ6" s="6" t="str">
        <f t="shared" si="15"/>
        <v>No Match</v>
      </c>
      <c r="AR6" s="6" t="s">
        <v>77</v>
      </c>
      <c r="AS6" s="6" t="str">
        <f t="shared" si="16"/>
        <v>No Match</v>
      </c>
      <c r="AT6" s="13" t="s">
        <v>77</v>
      </c>
      <c r="AU6" s="6" t="str">
        <f t="shared" si="17"/>
        <v>No Match</v>
      </c>
      <c r="AV6" s="14" t="s">
        <v>77</v>
      </c>
      <c r="AW6" s="6" t="str">
        <f t="shared" si="18"/>
        <v>No Match</v>
      </c>
    </row>
    <row r="7" spans="1:49" x14ac:dyDescent="0.35">
      <c r="A7" s="1" t="s">
        <v>79</v>
      </c>
      <c r="B7" s="6">
        <v>6</v>
      </c>
      <c r="C7" s="1" t="s">
        <v>80</v>
      </c>
      <c r="D7" s="1" t="s">
        <v>81</v>
      </c>
      <c r="E7" s="10">
        <v>46187</v>
      </c>
      <c r="F7" s="6" t="s">
        <v>82</v>
      </c>
      <c r="G7" s="1" t="s">
        <v>79</v>
      </c>
      <c r="H7" s="1" t="s">
        <v>83</v>
      </c>
      <c r="I7" s="1">
        <v>7</v>
      </c>
      <c r="J7" s="1" t="s">
        <v>84</v>
      </c>
      <c r="K7" s="1" t="s">
        <v>59</v>
      </c>
      <c r="L7" s="1" t="s">
        <v>79</v>
      </c>
      <c r="M7" s="1" t="str">
        <f t="shared" si="0"/>
        <v>No Match</v>
      </c>
      <c r="N7" s="6" t="s">
        <v>79</v>
      </c>
      <c r="O7" s="1" t="str">
        <f t="shared" si="1"/>
        <v>No Match</v>
      </c>
      <c r="P7" s="1" t="s">
        <v>79</v>
      </c>
      <c r="Q7" s="1" t="str">
        <f t="shared" si="2"/>
        <v>No Match</v>
      </c>
      <c r="R7" s="6" t="s">
        <v>79</v>
      </c>
      <c r="S7" s="1" t="str">
        <f t="shared" si="3"/>
        <v>No Match</v>
      </c>
      <c r="T7" s="1" t="s">
        <v>79</v>
      </c>
      <c r="U7" s="6" t="str">
        <f t="shared" si="4"/>
        <v>No Match</v>
      </c>
      <c r="V7" s="6" t="s">
        <v>79</v>
      </c>
      <c r="W7" s="6" t="str">
        <f t="shared" si="5"/>
        <v>No Match</v>
      </c>
      <c r="X7" s="6" t="s">
        <v>59</v>
      </c>
      <c r="Y7" s="6" t="str">
        <f t="shared" si="6"/>
        <v>Matched</v>
      </c>
      <c r="Z7" s="1" t="s">
        <v>79</v>
      </c>
      <c r="AA7" s="6" t="str">
        <f t="shared" si="7"/>
        <v>No Match</v>
      </c>
      <c r="AB7" s="6" t="s">
        <v>79</v>
      </c>
      <c r="AC7" s="6" t="str">
        <f t="shared" si="8"/>
        <v>No Match</v>
      </c>
      <c r="AD7" s="6" t="s">
        <v>79</v>
      </c>
      <c r="AE7" s="6" t="str">
        <f t="shared" si="9"/>
        <v>No Match</v>
      </c>
      <c r="AF7" s="6" t="s">
        <v>59</v>
      </c>
      <c r="AG7" s="6" t="str">
        <f t="shared" si="10"/>
        <v>Matched</v>
      </c>
      <c r="AH7" s="6" t="s">
        <v>79</v>
      </c>
      <c r="AI7" s="6" t="str">
        <f t="shared" si="11"/>
        <v>No Match</v>
      </c>
      <c r="AJ7" s="6" t="s">
        <v>79</v>
      </c>
      <c r="AK7" s="6" t="str">
        <f t="shared" si="12"/>
        <v>No Match</v>
      </c>
      <c r="AL7" s="12" t="s">
        <v>79</v>
      </c>
      <c r="AM7" s="6" t="str">
        <f t="shared" si="13"/>
        <v>No Match</v>
      </c>
      <c r="AN7" s="6" t="s">
        <v>79</v>
      </c>
      <c r="AO7" s="6" t="str">
        <f t="shared" si="14"/>
        <v>No Match</v>
      </c>
      <c r="AP7" s="6" t="s">
        <v>79</v>
      </c>
      <c r="AQ7" s="6" t="str">
        <f t="shared" si="15"/>
        <v>No Match</v>
      </c>
      <c r="AR7" s="6" t="s">
        <v>79</v>
      </c>
      <c r="AS7" s="6" t="str">
        <f t="shared" si="16"/>
        <v>No Match</v>
      </c>
      <c r="AT7" s="13" t="s">
        <v>79</v>
      </c>
      <c r="AU7" s="6" t="str">
        <f t="shared" si="17"/>
        <v>No Match</v>
      </c>
      <c r="AV7" s="14" t="s">
        <v>79</v>
      </c>
      <c r="AW7" s="6" t="str">
        <f t="shared" si="18"/>
        <v>No Match</v>
      </c>
    </row>
    <row r="8" spans="1:49" x14ac:dyDescent="0.35">
      <c r="A8" s="1" t="s">
        <v>83</v>
      </c>
      <c r="B8" s="6">
        <v>7</v>
      </c>
      <c r="C8" s="1" t="s">
        <v>80</v>
      </c>
      <c r="D8" s="1" t="s">
        <v>85</v>
      </c>
      <c r="E8" s="10">
        <v>46187</v>
      </c>
      <c r="F8" s="6" t="s">
        <v>70</v>
      </c>
      <c r="G8" s="1" t="s">
        <v>86</v>
      </c>
      <c r="H8" s="1" t="s">
        <v>87</v>
      </c>
      <c r="I8" s="1">
        <v>5</v>
      </c>
      <c r="J8" s="1" t="s">
        <v>88</v>
      </c>
      <c r="K8" s="1" t="s">
        <v>87</v>
      </c>
      <c r="L8" s="1" t="s">
        <v>86</v>
      </c>
      <c r="M8" s="1" t="str">
        <f t="shared" si="0"/>
        <v>No Match</v>
      </c>
      <c r="N8" s="6" t="s">
        <v>87</v>
      </c>
      <c r="O8" s="1" t="str">
        <f t="shared" si="1"/>
        <v>Matched</v>
      </c>
      <c r="P8" s="6" t="s">
        <v>87</v>
      </c>
      <c r="Q8" s="1" t="str">
        <f t="shared" si="2"/>
        <v>Matched</v>
      </c>
      <c r="R8" s="1" t="s">
        <v>87</v>
      </c>
      <c r="S8" s="1" t="str">
        <f t="shared" si="3"/>
        <v>Matched</v>
      </c>
      <c r="T8" s="1" t="s">
        <v>86</v>
      </c>
      <c r="U8" s="6" t="str">
        <f t="shared" si="4"/>
        <v>No Match</v>
      </c>
      <c r="V8" s="6" t="s">
        <v>87</v>
      </c>
      <c r="W8" s="6" t="str">
        <f t="shared" si="5"/>
        <v>Matched</v>
      </c>
      <c r="X8" s="6" t="s">
        <v>87</v>
      </c>
      <c r="Y8" s="6" t="str">
        <f t="shared" si="6"/>
        <v>Matched</v>
      </c>
      <c r="Z8" s="1" t="s">
        <v>87</v>
      </c>
      <c r="AA8" s="6" t="str">
        <f t="shared" si="7"/>
        <v>Matched</v>
      </c>
      <c r="AB8" s="6" t="s">
        <v>87</v>
      </c>
      <c r="AC8" s="6" t="str">
        <f t="shared" si="8"/>
        <v>Matched</v>
      </c>
      <c r="AD8" s="6" t="s">
        <v>87</v>
      </c>
      <c r="AE8" s="6" t="str">
        <f t="shared" si="9"/>
        <v>Matched</v>
      </c>
      <c r="AF8" s="6" t="s">
        <v>87</v>
      </c>
      <c r="AG8" s="6" t="str">
        <f t="shared" si="10"/>
        <v>Matched</v>
      </c>
      <c r="AH8" s="6" t="s">
        <v>59</v>
      </c>
      <c r="AI8" s="6" t="str">
        <f t="shared" si="11"/>
        <v>No Match</v>
      </c>
      <c r="AJ8" s="6" t="s">
        <v>87</v>
      </c>
      <c r="AK8" s="6" t="str">
        <f t="shared" si="12"/>
        <v>Matched</v>
      </c>
      <c r="AL8" s="12" t="s">
        <v>87</v>
      </c>
      <c r="AM8" s="6" t="str">
        <f t="shared" si="13"/>
        <v>Matched</v>
      </c>
      <c r="AN8" s="6" t="s">
        <v>87</v>
      </c>
      <c r="AO8" s="6" t="str">
        <f t="shared" si="14"/>
        <v>Matched</v>
      </c>
      <c r="AP8" s="6" t="s">
        <v>87</v>
      </c>
      <c r="AQ8" s="6" t="str">
        <f t="shared" si="15"/>
        <v>Matched</v>
      </c>
      <c r="AR8" s="6" t="s">
        <v>87</v>
      </c>
      <c r="AS8" s="6" t="str">
        <f t="shared" si="16"/>
        <v>Matched</v>
      </c>
      <c r="AT8" s="13" t="s">
        <v>87</v>
      </c>
      <c r="AU8" s="6" t="str">
        <f t="shared" si="17"/>
        <v>Matched</v>
      </c>
      <c r="AV8" s="14" t="s">
        <v>87</v>
      </c>
      <c r="AW8" s="6" t="str">
        <f t="shared" si="18"/>
        <v>Matched</v>
      </c>
    </row>
    <row r="9" spans="1:49" x14ac:dyDescent="0.35">
      <c r="A9" s="1" t="s">
        <v>89</v>
      </c>
      <c r="B9" s="6">
        <v>8</v>
      </c>
      <c r="C9" s="1" t="s">
        <v>68</v>
      </c>
      <c r="D9" s="1" t="s">
        <v>90</v>
      </c>
      <c r="E9" s="10">
        <v>46187</v>
      </c>
      <c r="F9" s="6" t="s">
        <v>91</v>
      </c>
      <c r="G9" s="1" t="s">
        <v>92</v>
      </c>
      <c r="H9" s="1" t="s">
        <v>93</v>
      </c>
      <c r="I9" s="1">
        <v>6</v>
      </c>
      <c r="J9" s="1" t="s">
        <v>94</v>
      </c>
      <c r="K9" s="1" t="s">
        <v>92</v>
      </c>
      <c r="L9" s="6" t="s">
        <v>59</v>
      </c>
      <c r="M9" s="1" t="str">
        <f t="shared" si="0"/>
        <v>No Match</v>
      </c>
      <c r="N9" s="6" t="s">
        <v>92</v>
      </c>
      <c r="O9" s="1" t="str">
        <f t="shared" si="1"/>
        <v>Matched</v>
      </c>
      <c r="P9" s="15" t="s">
        <v>93</v>
      </c>
      <c r="Q9" s="1" t="str">
        <f t="shared" si="2"/>
        <v>No Match</v>
      </c>
      <c r="R9" s="1" t="s">
        <v>93</v>
      </c>
      <c r="S9" s="1" t="str">
        <f t="shared" si="3"/>
        <v>No Match</v>
      </c>
      <c r="T9" s="1" t="s">
        <v>93</v>
      </c>
      <c r="U9" s="6" t="str">
        <f t="shared" si="4"/>
        <v>No Match</v>
      </c>
      <c r="V9" s="6" t="s">
        <v>93</v>
      </c>
      <c r="W9" s="6" t="str">
        <f t="shared" si="5"/>
        <v>No Match</v>
      </c>
      <c r="X9" s="6" t="s">
        <v>59</v>
      </c>
      <c r="Y9" s="6" t="str">
        <f t="shared" si="6"/>
        <v>No Match</v>
      </c>
      <c r="Z9" s="1" t="s">
        <v>93</v>
      </c>
      <c r="AA9" s="6" t="str">
        <f t="shared" si="7"/>
        <v>No Match</v>
      </c>
      <c r="AB9" s="1" t="s">
        <v>92</v>
      </c>
      <c r="AC9" s="6" t="str">
        <f t="shared" si="8"/>
        <v>Matched</v>
      </c>
      <c r="AD9" s="6" t="s">
        <v>95</v>
      </c>
      <c r="AE9" s="6" t="str">
        <f t="shared" si="9"/>
        <v>No Match</v>
      </c>
      <c r="AF9" s="6" t="s">
        <v>95</v>
      </c>
      <c r="AG9" s="6" t="str">
        <f t="shared" si="10"/>
        <v>No Match</v>
      </c>
      <c r="AH9" s="6" t="s">
        <v>59</v>
      </c>
      <c r="AI9" s="6" t="str">
        <f t="shared" si="11"/>
        <v>No Match</v>
      </c>
      <c r="AJ9" s="6" t="s">
        <v>59</v>
      </c>
      <c r="AK9" s="6" t="str">
        <f t="shared" si="12"/>
        <v>No Match</v>
      </c>
      <c r="AL9" s="12" t="s">
        <v>93</v>
      </c>
      <c r="AM9" s="6" t="str">
        <f t="shared" si="13"/>
        <v>No Match</v>
      </c>
      <c r="AN9" s="6" t="s">
        <v>95</v>
      </c>
      <c r="AO9" s="6" t="str">
        <f t="shared" si="14"/>
        <v>No Match</v>
      </c>
      <c r="AP9" s="6" t="s">
        <v>92</v>
      </c>
      <c r="AQ9" s="6" t="str">
        <f t="shared" si="15"/>
        <v>Matched</v>
      </c>
      <c r="AR9" s="6" t="s">
        <v>92</v>
      </c>
      <c r="AS9" s="6" t="str">
        <f t="shared" si="16"/>
        <v>Matched</v>
      </c>
      <c r="AT9" s="13" t="s">
        <v>93</v>
      </c>
      <c r="AU9" s="6" t="str">
        <f t="shared" si="17"/>
        <v>No Match</v>
      </c>
      <c r="AV9" s="14" t="s">
        <v>93</v>
      </c>
      <c r="AW9" s="6" t="str">
        <f t="shared" si="18"/>
        <v>No Match</v>
      </c>
    </row>
    <row r="10" spans="1:49" x14ac:dyDescent="0.35">
      <c r="A10" s="1" t="s">
        <v>96</v>
      </c>
      <c r="B10" s="6">
        <v>9</v>
      </c>
      <c r="C10" s="1" t="s">
        <v>97</v>
      </c>
      <c r="D10" s="1" t="s">
        <v>98</v>
      </c>
      <c r="E10" s="10">
        <v>46188</v>
      </c>
      <c r="F10" s="11">
        <v>0.20833333333333334</v>
      </c>
      <c r="G10" s="1" t="s">
        <v>99</v>
      </c>
      <c r="H10" s="1" t="s">
        <v>100</v>
      </c>
      <c r="I10" s="1">
        <v>10</v>
      </c>
      <c r="J10" s="1" t="s">
        <v>101</v>
      </c>
      <c r="K10" s="1" t="s">
        <v>99</v>
      </c>
      <c r="L10" s="6" t="s">
        <v>99</v>
      </c>
      <c r="M10" s="1" t="str">
        <f t="shared" si="0"/>
        <v>Matched</v>
      </c>
      <c r="N10" s="6" t="s">
        <v>99</v>
      </c>
      <c r="O10" s="1" t="str">
        <f t="shared" si="1"/>
        <v>Matched</v>
      </c>
      <c r="P10" s="6" t="s">
        <v>99</v>
      </c>
      <c r="Q10" s="1" t="str">
        <f t="shared" si="2"/>
        <v>Matched</v>
      </c>
      <c r="R10" s="1" t="s">
        <v>99</v>
      </c>
      <c r="S10" s="1" t="str">
        <f t="shared" si="3"/>
        <v>Matched</v>
      </c>
      <c r="T10" s="1" t="s">
        <v>99</v>
      </c>
      <c r="U10" s="6" t="str">
        <f t="shared" si="4"/>
        <v>Matched</v>
      </c>
      <c r="V10" s="6" t="s">
        <v>99</v>
      </c>
      <c r="W10" s="6" t="str">
        <f t="shared" si="5"/>
        <v>Matched</v>
      </c>
      <c r="X10" s="6" t="s">
        <v>99</v>
      </c>
      <c r="Y10" s="6" t="str">
        <f t="shared" si="6"/>
        <v>Matched</v>
      </c>
      <c r="Z10" s="1" t="s">
        <v>99</v>
      </c>
      <c r="AA10" s="6" t="str">
        <f t="shared" si="7"/>
        <v>Matched</v>
      </c>
      <c r="AB10" s="6" t="s">
        <v>99</v>
      </c>
      <c r="AC10" s="6" t="str">
        <f t="shared" si="8"/>
        <v>Matched</v>
      </c>
      <c r="AD10" s="6" t="s">
        <v>99</v>
      </c>
      <c r="AE10" s="6" t="str">
        <f t="shared" si="9"/>
        <v>Matched</v>
      </c>
      <c r="AF10" s="6" t="s">
        <v>99</v>
      </c>
      <c r="AG10" s="6" t="str">
        <f t="shared" si="10"/>
        <v>Matched</v>
      </c>
      <c r="AH10" s="6" t="s">
        <v>99</v>
      </c>
      <c r="AI10" s="6" t="str">
        <f t="shared" si="11"/>
        <v>Matched</v>
      </c>
      <c r="AJ10" s="6" t="s">
        <v>99</v>
      </c>
      <c r="AK10" s="6" t="str">
        <f t="shared" si="12"/>
        <v>Matched</v>
      </c>
      <c r="AL10" s="12" t="s">
        <v>99</v>
      </c>
      <c r="AM10" s="6" t="str">
        <f t="shared" si="13"/>
        <v>Matched</v>
      </c>
      <c r="AN10" s="6" t="s">
        <v>99</v>
      </c>
      <c r="AO10" s="6" t="str">
        <f t="shared" si="14"/>
        <v>Matched</v>
      </c>
      <c r="AP10" s="6" t="s">
        <v>99</v>
      </c>
      <c r="AQ10" s="6" t="str">
        <f t="shared" si="15"/>
        <v>Matched</v>
      </c>
      <c r="AR10" s="6" t="s">
        <v>99</v>
      </c>
      <c r="AS10" s="6" t="str">
        <f t="shared" si="16"/>
        <v>Matched</v>
      </c>
      <c r="AT10" s="13" t="s">
        <v>99</v>
      </c>
      <c r="AU10" s="6" t="str">
        <f t="shared" si="17"/>
        <v>Matched</v>
      </c>
      <c r="AV10" s="14" t="s">
        <v>99</v>
      </c>
      <c r="AW10" s="6" t="str">
        <f t="shared" si="18"/>
        <v>Matched</v>
      </c>
    </row>
    <row r="11" spans="1:49" x14ac:dyDescent="0.35">
      <c r="A11" s="1" t="s">
        <v>99</v>
      </c>
      <c r="B11" s="6">
        <v>10</v>
      </c>
      <c r="C11" s="1" t="s">
        <v>102</v>
      </c>
      <c r="D11" s="1" t="s">
        <v>103</v>
      </c>
      <c r="E11" s="10">
        <v>46188</v>
      </c>
      <c r="F11" s="11">
        <v>0.33333333333333331</v>
      </c>
      <c r="G11" s="1" t="s">
        <v>89</v>
      </c>
      <c r="H11" s="1" t="s">
        <v>104</v>
      </c>
      <c r="I11" s="1">
        <v>11</v>
      </c>
      <c r="J11" s="1" t="s">
        <v>105</v>
      </c>
      <c r="K11" s="1" t="s">
        <v>59</v>
      </c>
      <c r="L11" s="6" t="s">
        <v>89</v>
      </c>
      <c r="M11" s="1" t="str">
        <f t="shared" si="0"/>
        <v>No Match</v>
      </c>
      <c r="N11" s="15" t="s">
        <v>89</v>
      </c>
      <c r="O11" s="1" t="str">
        <f t="shared" si="1"/>
        <v>No Match</v>
      </c>
      <c r="P11" s="6" t="s">
        <v>89</v>
      </c>
      <c r="Q11" s="1" t="str">
        <f t="shared" si="2"/>
        <v>No Match</v>
      </c>
      <c r="R11" s="1" t="s">
        <v>89</v>
      </c>
      <c r="S11" s="1" t="str">
        <f t="shared" si="3"/>
        <v>No Match</v>
      </c>
      <c r="T11" s="1" t="s">
        <v>89</v>
      </c>
      <c r="U11" s="6" t="str">
        <f t="shared" si="4"/>
        <v>No Match</v>
      </c>
      <c r="V11" s="6" t="s">
        <v>89</v>
      </c>
      <c r="W11" s="6" t="str">
        <f t="shared" si="5"/>
        <v>No Match</v>
      </c>
      <c r="X11" s="6" t="s">
        <v>89</v>
      </c>
      <c r="Y11" s="6" t="str">
        <f t="shared" si="6"/>
        <v>No Match</v>
      </c>
      <c r="Z11" s="1" t="s">
        <v>89</v>
      </c>
      <c r="AA11" s="6" t="str">
        <f t="shared" si="7"/>
        <v>No Match</v>
      </c>
      <c r="AB11" s="6" t="s">
        <v>89</v>
      </c>
      <c r="AC11" s="6" t="str">
        <f t="shared" si="8"/>
        <v>No Match</v>
      </c>
      <c r="AD11" s="6" t="s">
        <v>89</v>
      </c>
      <c r="AE11" s="6" t="str">
        <f t="shared" si="9"/>
        <v>No Match</v>
      </c>
      <c r="AF11" s="6" t="s">
        <v>59</v>
      </c>
      <c r="AG11" s="6" t="str">
        <f t="shared" si="10"/>
        <v>Matched</v>
      </c>
      <c r="AH11" s="6" t="s">
        <v>89</v>
      </c>
      <c r="AI11" s="6" t="str">
        <f t="shared" si="11"/>
        <v>No Match</v>
      </c>
      <c r="AJ11" s="6" t="s">
        <v>89</v>
      </c>
      <c r="AK11" s="6" t="str">
        <f t="shared" si="12"/>
        <v>No Match</v>
      </c>
      <c r="AL11" s="12" t="s">
        <v>89</v>
      </c>
      <c r="AM11" s="6" t="str">
        <f t="shared" si="13"/>
        <v>No Match</v>
      </c>
      <c r="AN11" s="6" t="s">
        <v>89</v>
      </c>
      <c r="AO11" s="6" t="str">
        <f t="shared" si="14"/>
        <v>No Match</v>
      </c>
      <c r="AP11" s="6" t="s">
        <v>89</v>
      </c>
      <c r="AQ11" s="6" t="str">
        <f t="shared" si="15"/>
        <v>No Match</v>
      </c>
      <c r="AR11" s="6" t="s">
        <v>89</v>
      </c>
      <c r="AS11" s="6" t="str">
        <f t="shared" si="16"/>
        <v>No Match</v>
      </c>
      <c r="AT11" s="13" t="s">
        <v>89</v>
      </c>
      <c r="AU11" s="6" t="str">
        <f t="shared" si="17"/>
        <v>No Match</v>
      </c>
      <c r="AV11" s="14" t="s">
        <v>89</v>
      </c>
      <c r="AW11" s="6" t="str">
        <f t="shared" si="18"/>
        <v>No Match</v>
      </c>
    </row>
    <row r="12" spans="1:49" x14ac:dyDescent="0.35">
      <c r="A12" s="1" t="s">
        <v>106</v>
      </c>
      <c r="B12" s="6">
        <v>11</v>
      </c>
      <c r="C12" s="1" t="s">
        <v>97</v>
      </c>
      <c r="D12" s="1" t="s">
        <v>107</v>
      </c>
      <c r="E12" s="10">
        <v>46188</v>
      </c>
      <c r="F12" s="11">
        <v>0.45833333333333331</v>
      </c>
      <c r="G12" s="1" t="s">
        <v>108</v>
      </c>
      <c r="H12" s="1" t="s">
        <v>109</v>
      </c>
      <c r="I12" s="1">
        <v>9</v>
      </c>
      <c r="J12" s="1" t="s">
        <v>110</v>
      </c>
      <c r="K12" s="1" t="s">
        <v>108</v>
      </c>
      <c r="L12" s="6" t="s">
        <v>108</v>
      </c>
      <c r="M12" s="1" t="str">
        <f t="shared" si="0"/>
        <v>Matched</v>
      </c>
      <c r="N12" s="1" t="s">
        <v>109</v>
      </c>
      <c r="O12" s="1" t="str">
        <f t="shared" si="1"/>
        <v>No Match</v>
      </c>
      <c r="P12" s="6" t="s">
        <v>109</v>
      </c>
      <c r="Q12" s="1" t="str">
        <f t="shared" si="2"/>
        <v>No Match</v>
      </c>
      <c r="R12" s="6" t="s">
        <v>59</v>
      </c>
      <c r="S12" s="1" t="str">
        <f t="shared" si="3"/>
        <v>No Match</v>
      </c>
      <c r="T12" s="1" t="s">
        <v>109</v>
      </c>
      <c r="U12" s="6" t="str">
        <f t="shared" si="4"/>
        <v>No Match</v>
      </c>
      <c r="V12" s="1" t="s">
        <v>109</v>
      </c>
      <c r="W12" s="6" t="str">
        <f t="shared" si="5"/>
        <v>No Match</v>
      </c>
      <c r="X12" s="6" t="s">
        <v>59</v>
      </c>
      <c r="Y12" s="6" t="str">
        <f t="shared" si="6"/>
        <v>No Match</v>
      </c>
      <c r="Z12" s="1" t="s">
        <v>109</v>
      </c>
      <c r="AA12" s="6" t="str">
        <f t="shared" si="7"/>
        <v>No Match</v>
      </c>
      <c r="AB12" s="6" t="s">
        <v>109</v>
      </c>
      <c r="AC12" s="6" t="str">
        <f t="shared" si="8"/>
        <v>No Match</v>
      </c>
      <c r="AD12" s="6" t="s">
        <v>108</v>
      </c>
      <c r="AE12" s="6" t="str">
        <f t="shared" si="9"/>
        <v>Matched</v>
      </c>
      <c r="AF12" s="6" t="s">
        <v>108</v>
      </c>
      <c r="AG12" s="6" t="str">
        <f t="shared" si="10"/>
        <v>Matched</v>
      </c>
      <c r="AH12" s="6" t="s">
        <v>109</v>
      </c>
      <c r="AI12" s="6" t="str">
        <f t="shared" si="11"/>
        <v>No Match</v>
      </c>
      <c r="AJ12" s="6" t="s">
        <v>59</v>
      </c>
      <c r="AK12" s="6" t="str">
        <f t="shared" si="12"/>
        <v>No Match</v>
      </c>
      <c r="AL12" s="12" t="s">
        <v>109</v>
      </c>
      <c r="AM12" s="6" t="str">
        <f t="shared" si="13"/>
        <v>No Match</v>
      </c>
      <c r="AN12" s="6" t="s">
        <v>59</v>
      </c>
      <c r="AO12" s="6" t="str">
        <f t="shared" si="14"/>
        <v>No Match</v>
      </c>
      <c r="AP12" s="6" t="s">
        <v>109</v>
      </c>
      <c r="AQ12" s="6" t="str">
        <f t="shared" si="15"/>
        <v>No Match</v>
      </c>
      <c r="AR12" s="6" t="s">
        <v>109</v>
      </c>
      <c r="AS12" s="6" t="str">
        <f t="shared" si="16"/>
        <v>No Match</v>
      </c>
      <c r="AT12" s="13" t="s">
        <v>109</v>
      </c>
      <c r="AU12" s="6" t="str">
        <f t="shared" si="17"/>
        <v>No Match</v>
      </c>
      <c r="AV12" s="14" t="s">
        <v>109</v>
      </c>
      <c r="AW12" s="6" t="str">
        <f t="shared" si="18"/>
        <v>No Match</v>
      </c>
    </row>
    <row r="13" spans="1:49" x14ac:dyDescent="0.35">
      <c r="A13" s="1" t="s">
        <v>111</v>
      </c>
      <c r="B13" s="6">
        <v>13</v>
      </c>
      <c r="C13" s="1" t="s">
        <v>102</v>
      </c>
      <c r="D13" s="1" t="s">
        <v>112</v>
      </c>
      <c r="E13" s="10">
        <v>46188</v>
      </c>
      <c r="F13" s="11">
        <v>0.58333333333333337</v>
      </c>
      <c r="G13" s="1" t="s">
        <v>113</v>
      </c>
      <c r="H13" s="1" t="s">
        <v>114</v>
      </c>
      <c r="I13" s="1">
        <v>12</v>
      </c>
      <c r="J13" s="1" t="s">
        <v>115</v>
      </c>
      <c r="K13" s="1" t="s">
        <v>113</v>
      </c>
      <c r="L13" s="6" t="s">
        <v>59</v>
      </c>
      <c r="M13" s="1" t="str">
        <f t="shared" si="0"/>
        <v>No Match</v>
      </c>
      <c r="N13" s="1" t="s">
        <v>113</v>
      </c>
      <c r="O13" s="1" t="str">
        <f t="shared" si="1"/>
        <v>Matched</v>
      </c>
      <c r="P13" s="6" t="s">
        <v>113</v>
      </c>
      <c r="Q13" s="1" t="str">
        <f t="shared" si="2"/>
        <v>Matched</v>
      </c>
      <c r="R13" s="6" t="s">
        <v>59</v>
      </c>
      <c r="S13" s="1" t="str">
        <f t="shared" si="3"/>
        <v>No Match</v>
      </c>
      <c r="T13" s="1" t="s">
        <v>113</v>
      </c>
      <c r="U13" s="6" t="str">
        <f t="shared" si="4"/>
        <v>Matched</v>
      </c>
      <c r="V13" s="6" t="s">
        <v>113</v>
      </c>
      <c r="W13" s="6" t="str">
        <f t="shared" si="5"/>
        <v>Matched</v>
      </c>
      <c r="X13" s="1" t="s">
        <v>113</v>
      </c>
      <c r="Y13" s="6" t="str">
        <f t="shared" si="6"/>
        <v>Matched</v>
      </c>
      <c r="Z13" s="1" t="s">
        <v>113</v>
      </c>
      <c r="AA13" s="6" t="str">
        <f t="shared" si="7"/>
        <v>Matched</v>
      </c>
      <c r="AB13" s="6" t="s">
        <v>113</v>
      </c>
      <c r="AC13" s="6" t="str">
        <f t="shared" si="8"/>
        <v>Matched</v>
      </c>
      <c r="AD13" s="6" t="s">
        <v>113</v>
      </c>
      <c r="AE13" s="6" t="str">
        <f t="shared" si="9"/>
        <v>Matched</v>
      </c>
      <c r="AF13" s="6" t="s">
        <v>113</v>
      </c>
      <c r="AG13" s="6" t="str">
        <f>IF(ISBLANK(K13),"TBP",IF(AF13=K13,"Matched","No Match"))</f>
        <v>Matched</v>
      </c>
      <c r="AH13" s="6" t="s">
        <v>113</v>
      </c>
      <c r="AI13" s="6" t="str">
        <f t="shared" si="11"/>
        <v>Matched</v>
      </c>
      <c r="AJ13" s="6" t="s">
        <v>59</v>
      </c>
      <c r="AK13" s="6" t="str">
        <f t="shared" si="12"/>
        <v>No Match</v>
      </c>
      <c r="AL13" s="12" t="s">
        <v>113</v>
      </c>
      <c r="AM13" s="6" t="str">
        <f t="shared" si="13"/>
        <v>Matched</v>
      </c>
      <c r="AN13" s="6" t="s">
        <v>113</v>
      </c>
      <c r="AO13" s="6" t="str">
        <f t="shared" si="14"/>
        <v>Matched</v>
      </c>
      <c r="AP13" s="6" t="s">
        <v>113</v>
      </c>
      <c r="AQ13" s="6" t="str">
        <f t="shared" si="15"/>
        <v>Matched</v>
      </c>
      <c r="AR13" s="6" t="s">
        <v>113</v>
      </c>
      <c r="AS13" s="6" t="str">
        <f t="shared" si="16"/>
        <v>Matched</v>
      </c>
      <c r="AT13" s="13" t="s">
        <v>113</v>
      </c>
      <c r="AU13" s="6" t="str">
        <f t="shared" si="17"/>
        <v>Matched</v>
      </c>
      <c r="AV13" s="14" t="s">
        <v>113</v>
      </c>
      <c r="AW13" s="6" t="str">
        <f t="shared" si="18"/>
        <v>Matched</v>
      </c>
    </row>
    <row r="14" spans="1:49" x14ac:dyDescent="0.35">
      <c r="A14" s="1" t="s">
        <v>51</v>
      </c>
      <c r="B14" s="6">
        <v>14</v>
      </c>
      <c r="C14" s="1" t="s">
        <v>116</v>
      </c>
      <c r="D14" s="1" t="s">
        <v>117</v>
      </c>
      <c r="E14" s="10">
        <v>46189</v>
      </c>
      <c r="F14" s="11">
        <v>0.16666666666666666</v>
      </c>
      <c r="G14" s="1" t="s">
        <v>54</v>
      </c>
      <c r="H14" s="1" t="s">
        <v>118</v>
      </c>
      <c r="I14" s="1">
        <v>14</v>
      </c>
      <c r="J14" s="1" t="s">
        <v>119</v>
      </c>
      <c r="K14" s="1" t="s">
        <v>59</v>
      </c>
      <c r="L14" s="6" t="s">
        <v>54</v>
      </c>
      <c r="M14" s="1" t="str">
        <f t="shared" si="0"/>
        <v>No Match</v>
      </c>
      <c r="N14" s="1" t="s">
        <v>54</v>
      </c>
      <c r="O14" s="1" t="str">
        <f t="shared" si="1"/>
        <v>No Match</v>
      </c>
      <c r="P14" s="6" t="s">
        <v>54</v>
      </c>
      <c r="Q14" s="1" t="str">
        <f t="shared" si="2"/>
        <v>No Match</v>
      </c>
      <c r="R14" s="6" t="s">
        <v>54</v>
      </c>
      <c r="S14" s="1" t="str">
        <f t="shared" si="3"/>
        <v>No Match</v>
      </c>
      <c r="T14" s="1" t="s">
        <v>54</v>
      </c>
      <c r="U14" s="6" t="str">
        <f t="shared" si="4"/>
        <v>No Match</v>
      </c>
      <c r="V14" s="6" t="s">
        <v>54</v>
      </c>
      <c r="W14" s="6" t="str">
        <f t="shared" si="5"/>
        <v>No Match</v>
      </c>
      <c r="X14" s="1" t="s">
        <v>54</v>
      </c>
      <c r="Y14" s="6" t="str">
        <f t="shared" si="6"/>
        <v>No Match</v>
      </c>
      <c r="Z14" s="1" t="s">
        <v>54</v>
      </c>
      <c r="AA14" s="6" t="str">
        <f t="shared" si="7"/>
        <v>No Match</v>
      </c>
      <c r="AB14" s="6" t="s">
        <v>54</v>
      </c>
      <c r="AC14" s="6" t="str">
        <f t="shared" si="8"/>
        <v>No Match</v>
      </c>
      <c r="AD14" s="6" t="s">
        <v>54</v>
      </c>
      <c r="AE14" s="6" t="str">
        <f t="shared" si="9"/>
        <v>No Match</v>
      </c>
      <c r="AF14" s="6" t="s">
        <v>54</v>
      </c>
      <c r="AG14" s="6" t="str">
        <f t="shared" si="10"/>
        <v>No Match</v>
      </c>
      <c r="AH14" s="6" t="s">
        <v>54</v>
      </c>
      <c r="AI14" s="6" t="str">
        <f t="shared" si="11"/>
        <v>No Match</v>
      </c>
      <c r="AJ14" s="6" t="s">
        <v>54</v>
      </c>
      <c r="AK14" s="6" t="str">
        <f t="shared" si="12"/>
        <v>No Match</v>
      </c>
      <c r="AL14" s="12" t="s">
        <v>54</v>
      </c>
      <c r="AM14" s="6" t="str">
        <f t="shared" si="13"/>
        <v>No Match</v>
      </c>
      <c r="AN14" s="6" t="s">
        <v>54</v>
      </c>
      <c r="AO14" s="6" t="str">
        <f t="shared" si="14"/>
        <v>No Match</v>
      </c>
      <c r="AP14" s="6" t="s">
        <v>54</v>
      </c>
      <c r="AQ14" s="6" t="str">
        <f t="shared" si="15"/>
        <v>No Match</v>
      </c>
      <c r="AR14" s="6" t="s">
        <v>54</v>
      </c>
      <c r="AS14" s="6" t="str">
        <f t="shared" si="16"/>
        <v>No Match</v>
      </c>
      <c r="AT14" s="13" t="s">
        <v>54</v>
      </c>
      <c r="AU14" s="6" t="str">
        <f t="shared" si="17"/>
        <v>No Match</v>
      </c>
      <c r="AV14" s="14" t="s">
        <v>54</v>
      </c>
      <c r="AW14" s="6" t="str">
        <f t="shared" si="18"/>
        <v>No Match</v>
      </c>
    </row>
    <row r="15" spans="1:49" x14ac:dyDescent="0.35">
      <c r="A15" s="1" t="s">
        <v>120</v>
      </c>
      <c r="B15" s="6">
        <v>15</v>
      </c>
      <c r="C15" s="1" t="s">
        <v>121</v>
      </c>
      <c r="D15" s="1" t="s">
        <v>122</v>
      </c>
      <c r="E15" s="10">
        <v>46189</v>
      </c>
      <c r="F15" s="11">
        <v>0.29166666666666669</v>
      </c>
      <c r="G15" s="1" t="s">
        <v>96</v>
      </c>
      <c r="H15" s="1" t="s">
        <v>123</v>
      </c>
      <c r="I15" s="1">
        <v>16</v>
      </c>
      <c r="J15" s="1" t="s">
        <v>124</v>
      </c>
      <c r="K15" s="1" t="s">
        <v>59</v>
      </c>
      <c r="L15" s="6" t="s">
        <v>96</v>
      </c>
      <c r="M15" s="1" t="str">
        <f t="shared" si="0"/>
        <v>No Match</v>
      </c>
      <c r="N15" s="1" t="s">
        <v>96</v>
      </c>
      <c r="O15" s="1" t="str">
        <f t="shared" si="1"/>
        <v>No Match</v>
      </c>
      <c r="P15" s="6" t="s">
        <v>96</v>
      </c>
      <c r="Q15" s="1" t="str">
        <f t="shared" si="2"/>
        <v>No Match</v>
      </c>
      <c r="R15" s="6" t="s">
        <v>96</v>
      </c>
      <c r="S15" s="1" t="str">
        <f t="shared" si="3"/>
        <v>No Match</v>
      </c>
      <c r="T15" s="1" t="s">
        <v>96</v>
      </c>
      <c r="U15" s="6" t="str">
        <f t="shared" si="4"/>
        <v>No Match</v>
      </c>
      <c r="V15" s="6" t="s">
        <v>96</v>
      </c>
      <c r="W15" s="6" t="str">
        <f t="shared" si="5"/>
        <v>No Match</v>
      </c>
      <c r="X15" s="1" t="s">
        <v>96</v>
      </c>
      <c r="Y15" s="6" t="str">
        <f t="shared" si="6"/>
        <v>No Match</v>
      </c>
      <c r="Z15" s="1" t="s">
        <v>123</v>
      </c>
      <c r="AA15" s="6" t="str">
        <f t="shared" si="7"/>
        <v>No Match</v>
      </c>
      <c r="AB15" s="1" t="s">
        <v>96</v>
      </c>
      <c r="AC15" s="6" t="str">
        <f t="shared" si="8"/>
        <v>No Match</v>
      </c>
      <c r="AD15" s="6" t="s">
        <v>96</v>
      </c>
      <c r="AE15" s="6" t="str">
        <f t="shared" si="9"/>
        <v>No Match</v>
      </c>
      <c r="AF15" s="6" t="s">
        <v>96</v>
      </c>
      <c r="AG15" s="6" t="str">
        <f t="shared" si="10"/>
        <v>No Match</v>
      </c>
      <c r="AH15" s="6" t="s">
        <v>96</v>
      </c>
      <c r="AI15" s="6" t="str">
        <f t="shared" si="11"/>
        <v>No Match</v>
      </c>
      <c r="AJ15" s="6" t="s">
        <v>96</v>
      </c>
      <c r="AK15" s="6" t="str">
        <f t="shared" si="12"/>
        <v>No Match</v>
      </c>
      <c r="AL15" s="12" t="s">
        <v>96</v>
      </c>
      <c r="AM15" s="6" t="str">
        <f t="shared" si="13"/>
        <v>No Match</v>
      </c>
      <c r="AN15" s="6" t="s">
        <v>96</v>
      </c>
      <c r="AO15" s="6" t="str">
        <f t="shared" si="14"/>
        <v>No Match</v>
      </c>
      <c r="AP15" s="6" t="s">
        <v>96</v>
      </c>
      <c r="AQ15" s="6" t="str">
        <f t="shared" si="15"/>
        <v>No Match</v>
      </c>
      <c r="AR15" s="6" t="s">
        <v>96</v>
      </c>
      <c r="AS15" s="6" t="str">
        <f t="shared" si="16"/>
        <v>No Match</v>
      </c>
      <c r="AT15" s="13" t="s">
        <v>96</v>
      </c>
      <c r="AU15" s="6" t="str">
        <f t="shared" si="17"/>
        <v>No Match</v>
      </c>
      <c r="AV15" s="14" t="s">
        <v>96</v>
      </c>
      <c r="AW15" s="6" t="str">
        <f t="shared" si="18"/>
        <v>No Match</v>
      </c>
    </row>
    <row r="16" spans="1:49" x14ac:dyDescent="0.35">
      <c r="A16" s="1" t="s">
        <v>71</v>
      </c>
      <c r="B16" s="6">
        <v>16</v>
      </c>
      <c r="C16" s="1" t="s">
        <v>116</v>
      </c>
      <c r="D16" s="1" t="s">
        <v>125</v>
      </c>
      <c r="E16" s="10">
        <v>46189</v>
      </c>
      <c r="F16" s="11">
        <v>0.41666666666666669</v>
      </c>
      <c r="G16" s="1" t="s">
        <v>126</v>
      </c>
      <c r="H16" s="1" t="s">
        <v>127</v>
      </c>
      <c r="I16" s="1">
        <v>13</v>
      </c>
      <c r="J16" s="1" t="s">
        <v>128</v>
      </c>
      <c r="K16" s="1" t="s">
        <v>59</v>
      </c>
      <c r="L16" s="6" t="s">
        <v>127</v>
      </c>
      <c r="M16" s="1" t="str">
        <f t="shared" si="0"/>
        <v>No Match</v>
      </c>
      <c r="N16" s="1" t="s">
        <v>127</v>
      </c>
      <c r="O16" s="1" t="str">
        <f t="shared" si="1"/>
        <v>No Match</v>
      </c>
      <c r="P16" s="6" t="s">
        <v>127</v>
      </c>
      <c r="Q16" s="1" t="str">
        <f t="shared" si="2"/>
        <v>No Match</v>
      </c>
      <c r="R16" s="6" t="s">
        <v>127</v>
      </c>
      <c r="S16" s="1" t="str">
        <f t="shared" si="3"/>
        <v>No Match</v>
      </c>
      <c r="T16" s="1" t="s">
        <v>127</v>
      </c>
      <c r="U16" s="6" t="str">
        <f t="shared" si="4"/>
        <v>No Match</v>
      </c>
      <c r="V16" s="6" t="s">
        <v>127</v>
      </c>
      <c r="W16" s="6" t="str">
        <f t="shared" si="5"/>
        <v>No Match</v>
      </c>
      <c r="X16" s="1" t="s">
        <v>127</v>
      </c>
      <c r="Y16" s="6" t="str">
        <f t="shared" si="6"/>
        <v>No Match</v>
      </c>
      <c r="Z16" s="1" t="s">
        <v>127</v>
      </c>
      <c r="AA16" s="6" t="str">
        <f t="shared" si="7"/>
        <v>No Match</v>
      </c>
      <c r="AB16" s="1" t="s">
        <v>127</v>
      </c>
      <c r="AC16" s="6" t="str">
        <f t="shared" si="8"/>
        <v>No Match</v>
      </c>
      <c r="AD16" s="6" t="s">
        <v>127</v>
      </c>
      <c r="AE16" s="6" t="str">
        <f t="shared" si="9"/>
        <v>No Match</v>
      </c>
      <c r="AF16" s="1" t="s">
        <v>126</v>
      </c>
      <c r="AG16" s="6" t="str">
        <f t="shared" si="10"/>
        <v>No Match</v>
      </c>
      <c r="AH16" s="6" t="s">
        <v>127</v>
      </c>
      <c r="AI16" s="6" t="str">
        <f t="shared" si="11"/>
        <v>No Match</v>
      </c>
      <c r="AJ16" s="6" t="s">
        <v>127</v>
      </c>
      <c r="AK16" s="6" t="str">
        <f t="shared" si="12"/>
        <v>No Match</v>
      </c>
      <c r="AL16" s="12" t="s">
        <v>127</v>
      </c>
      <c r="AM16" s="6" t="str">
        <f t="shared" si="13"/>
        <v>No Match</v>
      </c>
      <c r="AN16" s="6" t="s">
        <v>127</v>
      </c>
      <c r="AO16" s="6" t="str">
        <f t="shared" si="14"/>
        <v>No Match</v>
      </c>
      <c r="AP16" s="6" t="s">
        <v>127</v>
      </c>
      <c r="AQ16" s="6" t="str">
        <f t="shared" si="15"/>
        <v>No Match</v>
      </c>
      <c r="AR16" s="6" t="s">
        <v>127</v>
      </c>
      <c r="AS16" s="6" t="str">
        <f t="shared" si="16"/>
        <v>No Match</v>
      </c>
      <c r="AT16" s="13" t="s">
        <v>127</v>
      </c>
      <c r="AU16" s="6" t="str">
        <f t="shared" si="17"/>
        <v>No Match</v>
      </c>
      <c r="AV16" s="14" t="s">
        <v>127</v>
      </c>
      <c r="AW16" s="6" t="str">
        <f t="shared" si="18"/>
        <v>No Match</v>
      </c>
    </row>
    <row r="17" spans="1:49" x14ac:dyDescent="0.35">
      <c r="A17" s="1" t="s">
        <v>127</v>
      </c>
      <c r="B17" s="6">
        <v>17</v>
      </c>
      <c r="C17" s="1" t="s">
        <v>121</v>
      </c>
      <c r="D17" s="1" t="s">
        <v>129</v>
      </c>
      <c r="E17" s="10">
        <v>46189</v>
      </c>
      <c r="F17" s="11">
        <v>0.54166666666666663</v>
      </c>
      <c r="G17" s="1" t="s">
        <v>130</v>
      </c>
      <c r="H17" s="1" t="s">
        <v>131</v>
      </c>
      <c r="I17" s="1">
        <v>15</v>
      </c>
      <c r="J17" s="1" t="s">
        <v>73</v>
      </c>
      <c r="K17" s="1" t="s">
        <v>59</v>
      </c>
      <c r="L17" s="6" t="s">
        <v>59</v>
      </c>
      <c r="M17" s="1" t="str">
        <f t="shared" si="0"/>
        <v>Matched</v>
      </c>
      <c r="N17" s="6" t="s">
        <v>131</v>
      </c>
      <c r="O17" s="1" t="str">
        <f t="shared" si="1"/>
        <v>No Match</v>
      </c>
      <c r="P17" s="6" t="s">
        <v>131</v>
      </c>
      <c r="Q17" s="1" t="str">
        <f t="shared" si="2"/>
        <v>No Match</v>
      </c>
      <c r="R17" s="6" t="s">
        <v>131</v>
      </c>
      <c r="S17" s="1" t="str">
        <f t="shared" si="3"/>
        <v>No Match</v>
      </c>
      <c r="T17" s="1" t="s">
        <v>130</v>
      </c>
      <c r="U17" s="6" t="str">
        <f t="shared" si="4"/>
        <v>No Match</v>
      </c>
      <c r="V17" s="1" t="s">
        <v>131</v>
      </c>
      <c r="W17" s="6" t="str">
        <f t="shared" si="5"/>
        <v>No Match</v>
      </c>
      <c r="X17" s="1" t="s">
        <v>130</v>
      </c>
      <c r="Y17" s="6" t="str">
        <f t="shared" si="6"/>
        <v>No Match</v>
      </c>
      <c r="Z17" s="1" t="s">
        <v>131</v>
      </c>
      <c r="AA17" s="6" t="str">
        <f t="shared" si="7"/>
        <v>No Match</v>
      </c>
      <c r="AB17" s="6" t="s">
        <v>131</v>
      </c>
      <c r="AC17" s="6" t="str">
        <f t="shared" si="8"/>
        <v>No Match</v>
      </c>
      <c r="AD17" s="6" t="s">
        <v>131</v>
      </c>
      <c r="AE17" s="6" t="str">
        <f t="shared" si="9"/>
        <v>No Match</v>
      </c>
      <c r="AF17" s="6" t="s">
        <v>131</v>
      </c>
      <c r="AG17" s="6" t="str">
        <f t="shared" si="10"/>
        <v>No Match</v>
      </c>
      <c r="AH17" s="6" t="s">
        <v>131</v>
      </c>
      <c r="AI17" s="6" t="str">
        <f t="shared" si="11"/>
        <v>No Match</v>
      </c>
      <c r="AJ17" s="6" t="s">
        <v>130</v>
      </c>
      <c r="AK17" s="6" t="str">
        <f t="shared" si="12"/>
        <v>No Match</v>
      </c>
      <c r="AL17" s="12" t="s">
        <v>131</v>
      </c>
      <c r="AM17" s="6" t="str">
        <f t="shared" si="13"/>
        <v>No Match</v>
      </c>
      <c r="AN17" s="6" t="s">
        <v>130</v>
      </c>
      <c r="AO17" s="6" t="str">
        <f t="shared" si="14"/>
        <v>No Match</v>
      </c>
      <c r="AP17" s="6" t="s">
        <v>59</v>
      </c>
      <c r="AQ17" s="6" t="str">
        <f t="shared" si="15"/>
        <v>Matched</v>
      </c>
      <c r="AR17" s="6" t="s">
        <v>130</v>
      </c>
      <c r="AS17" s="6" t="str">
        <f t="shared" si="16"/>
        <v>No Match</v>
      </c>
      <c r="AT17" s="13" t="s">
        <v>130</v>
      </c>
      <c r="AU17" s="6" t="str">
        <f t="shared" si="17"/>
        <v>No Match</v>
      </c>
      <c r="AV17" s="14" t="s">
        <v>130</v>
      </c>
      <c r="AW17" s="6" t="str">
        <f t="shared" si="18"/>
        <v>No Match</v>
      </c>
    </row>
    <row r="18" spans="1:49" x14ac:dyDescent="0.35">
      <c r="A18" s="1" t="s">
        <v>104</v>
      </c>
      <c r="B18" s="6">
        <v>18</v>
      </c>
      <c r="C18" s="1" t="s">
        <v>132</v>
      </c>
      <c r="D18" s="1" t="s">
        <v>133</v>
      </c>
      <c r="E18" s="10">
        <v>46190</v>
      </c>
      <c r="F18" s="11">
        <v>0.29166666666666669</v>
      </c>
      <c r="G18" s="1" t="s">
        <v>60</v>
      </c>
      <c r="H18" s="1" t="s">
        <v>120</v>
      </c>
      <c r="I18" s="1">
        <v>17</v>
      </c>
      <c r="J18" s="1" t="s">
        <v>84</v>
      </c>
      <c r="K18" s="1" t="s">
        <v>60</v>
      </c>
      <c r="L18" s="6" t="s">
        <v>60</v>
      </c>
      <c r="M18" s="1" t="str">
        <f t="shared" si="0"/>
        <v>Matched</v>
      </c>
      <c r="N18" s="1" t="s">
        <v>60</v>
      </c>
      <c r="O18" s="1" t="str">
        <f t="shared" si="1"/>
        <v>Matched</v>
      </c>
      <c r="P18" s="6" t="s">
        <v>60</v>
      </c>
      <c r="Q18" s="1" t="str">
        <f t="shared" si="2"/>
        <v>Matched</v>
      </c>
      <c r="R18" s="6" t="s">
        <v>60</v>
      </c>
      <c r="S18" s="1" t="str">
        <f t="shared" si="3"/>
        <v>Matched</v>
      </c>
      <c r="T18" s="1" t="s">
        <v>60</v>
      </c>
      <c r="U18" s="6" t="str">
        <f t="shared" si="4"/>
        <v>Matched</v>
      </c>
      <c r="V18" s="6" t="s">
        <v>60</v>
      </c>
      <c r="W18" s="6" t="str">
        <f t="shared" si="5"/>
        <v>Matched</v>
      </c>
      <c r="X18" s="6" t="s">
        <v>60</v>
      </c>
      <c r="Y18" s="6" t="str">
        <f t="shared" si="6"/>
        <v>Matched</v>
      </c>
      <c r="Z18" s="1" t="s">
        <v>60</v>
      </c>
      <c r="AA18" s="6" t="str">
        <f t="shared" si="7"/>
        <v>Matched</v>
      </c>
      <c r="AB18" s="6" t="s">
        <v>60</v>
      </c>
      <c r="AC18" s="6" t="str">
        <f t="shared" si="8"/>
        <v>Matched</v>
      </c>
      <c r="AD18" s="6" t="s">
        <v>60</v>
      </c>
      <c r="AE18" s="6" t="str">
        <f t="shared" si="9"/>
        <v>Matched</v>
      </c>
      <c r="AF18" s="6" t="s">
        <v>60</v>
      </c>
      <c r="AG18" s="6" t="str">
        <f t="shared" si="10"/>
        <v>Matched</v>
      </c>
      <c r="AH18" s="6" t="s">
        <v>60</v>
      </c>
      <c r="AI18" s="6" t="str">
        <f t="shared" si="11"/>
        <v>Matched</v>
      </c>
      <c r="AJ18" s="6" t="s">
        <v>60</v>
      </c>
      <c r="AK18" s="6" t="str">
        <f t="shared" si="12"/>
        <v>Matched</v>
      </c>
      <c r="AL18" s="12" t="s">
        <v>60</v>
      </c>
      <c r="AM18" s="6" t="str">
        <f t="shared" si="13"/>
        <v>Matched</v>
      </c>
      <c r="AN18" s="6" t="s">
        <v>60</v>
      </c>
      <c r="AO18" s="6" t="str">
        <f t="shared" si="14"/>
        <v>Matched</v>
      </c>
      <c r="AP18" s="6" t="s">
        <v>60</v>
      </c>
      <c r="AQ18" s="6" t="str">
        <f t="shared" si="15"/>
        <v>Matched</v>
      </c>
      <c r="AR18" s="6" t="s">
        <v>60</v>
      </c>
      <c r="AS18" s="6" t="str">
        <f t="shared" si="16"/>
        <v>Matched</v>
      </c>
      <c r="AT18" s="13" t="s">
        <v>60</v>
      </c>
      <c r="AU18" s="6" t="str">
        <f t="shared" si="17"/>
        <v>Matched</v>
      </c>
      <c r="AV18" s="14" t="s">
        <v>60</v>
      </c>
      <c r="AW18" s="6" t="str">
        <f t="shared" si="18"/>
        <v>Matched</v>
      </c>
    </row>
    <row r="19" spans="1:49" x14ac:dyDescent="0.35">
      <c r="A19" s="1" t="s">
        <v>77</v>
      </c>
      <c r="B19" s="6">
        <v>19</v>
      </c>
      <c r="C19" s="1" t="s">
        <v>132</v>
      </c>
      <c r="D19" s="1" t="s">
        <v>134</v>
      </c>
      <c r="E19" s="10">
        <v>46190</v>
      </c>
      <c r="F19" s="11">
        <v>0.41666666666666669</v>
      </c>
      <c r="G19" s="1" t="s">
        <v>135</v>
      </c>
      <c r="H19" s="1" t="s">
        <v>136</v>
      </c>
      <c r="I19" s="1">
        <v>18</v>
      </c>
      <c r="J19" s="1" t="s">
        <v>88</v>
      </c>
      <c r="K19" s="1" t="s">
        <v>136</v>
      </c>
      <c r="L19" s="6" t="s">
        <v>136</v>
      </c>
      <c r="M19" s="1" t="str">
        <f t="shared" si="0"/>
        <v>Matched</v>
      </c>
      <c r="N19" s="1" t="s">
        <v>136</v>
      </c>
      <c r="O19" s="1" t="str">
        <f t="shared" si="1"/>
        <v>Matched</v>
      </c>
      <c r="P19" s="6" t="s">
        <v>136</v>
      </c>
      <c r="Q19" s="1" t="str">
        <f t="shared" si="2"/>
        <v>Matched</v>
      </c>
      <c r="R19" s="6" t="s">
        <v>136</v>
      </c>
      <c r="S19" s="1" t="str">
        <f t="shared" si="3"/>
        <v>Matched</v>
      </c>
      <c r="T19" s="1" t="s">
        <v>136</v>
      </c>
      <c r="U19" s="6" t="str">
        <f t="shared" si="4"/>
        <v>Matched</v>
      </c>
      <c r="V19" s="6" t="s">
        <v>136</v>
      </c>
      <c r="W19" s="6" t="str">
        <f t="shared" si="5"/>
        <v>Matched</v>
      </c>
      <c r="X19" s="6" t="s">
        <v>136</v>
      </c>
      <c r="Y19" s="6" t="str">
        <f t="shared" si="6"/>
        <v>Matched</v>
      </c>
      <c r="Z19" s="1" t="s">
        <v>136</v>
      </c>
      <c r="AA19" s="6" t="str">
        <f t="shared" si="7"/>
        <v>Matched</v>
      </c>
      <c r="AB19" s="6" t="s">
        <v>136</v>
      </c>
      <c r="AC19" s="6" t="str">
        <f t="shared" si="8"/>
        <v>Matched</v>
      </c>
      <c r="AD19" s="6" t="s">
        <v>136</v>
      </c>
      <c r="AE19" s="6" t="str">
        <f t="shared" si="9"/>
        <v>Matched</v>
      </c>
      <c r="AF19" s="6" t="s">
        <v>136</v>
      </c>
      <c r="AG19" s="6" t="str">
        <f t="shared" si="10"/>
        <v>Matched</v>
      </c>
      <c r="AH19" s="6" t="s">
        <v>136</v>
      </c>
      <c r="AI19" s="6" t="str">
        <f t="shared" si="11"/>
        <v>Matched</v>
      </c>
      <c r="AJ19" s="6" t="s">
        <v>136</v>
      </c>
      <c r="AK19" s="6" t="str">
        <f t="shared" si="12"/>
        <v>Matched</v>
      </c>
      <c r="AL19" s="12" t="s">
        <v>136</v>
      </c>
      <c r="AM19" s="6" t="str">
        <f t="shared" si="13"/>
        <v>Matched</v>
      </c>
      <c r="AN19" s="6" t="s">
        <v>136</v>
      </c>
      <c r="AO19" s="6" t="str">
        <f t="shared" si="14"/>
        <v>Matched</v>
      </c>
      <c r="AP19" s="6" t="s">
        <v>135</v>
      </c>
      <c r="AQ19" s="6" t="str">
        <f t="shared" si="15"/>
        <v>No Match</v>
      </c>
      <c r="AR19" s="6" t="s">
        <v>136</v>
      </c>
      <c r="AS19" s="6" t="str">
        <f t="shared" si="16"/>
        <v>Matched</v>
      </c>
      <c r="AT19" s="13" t="s">
        <v>136</v>
      </c>
      <c r="AU19" s="6" t="str">
        <f t="shared" si="17"/>
        <v>Matched</v>
      </c>
      <c r="AV19" s="14" t="s">
        <v>136</v>
      </c>
      <c r="AW19" s="6" t="str">
        <f t="shared" si="18"/>
        <v>Matched</v>
      </c>
    </row>
    <row r="20" spans="1:49" x14ac:dyDescent="0.35">
      <c r="A20" s="1" t="s">
        <v>130</v>
      </c>
      <c r="B20" s="6">
        <v>20</v>
      </c>
      <c r="C20" s="1" t="s">
        <v>137</v>
      </c>
      <c r="D20" s="1" t="s">
        <v>138</v>
      </c>
      <c r="E20" s="10">
        <v>46190</v>
      </c>
      <c r="F20" s="6" t="s">
        <v>70</v>
      </c>
      <c r="G20" s="1" t="s">
        <v>48</v>
      </c>
      <c r="H20" s="1" t="s">
        <v>139</v>
      </c>
      <c r="I20" s="1">
        <v>19</v>
      </c>
      <c r="J20" s="1" t="s">
        <v>140</v>
      </c>
      <c r="K20" s="1" t="s">
        <v>48</v>
      </c>
      <c r="L20" s="6" t="s">
        <v>48</v>
      </c>
      <c r="M20" s="1" t="str">
        <f t="shared" si="0"/>
        <v>Matched</v>
      </c>
      <c r="N20" s="1" t="s">
        <v>48</v>
      </c>
      <c r="O20" s="1" t="str">
        <f t="shared" si="1"/>
        <v>Matched</v>
      </c>
      <c r="P20" s="6" t="s">
        <v>48</v>
      </c>
      <c r="Q20" s="1" t="str">
        <f t="shared" si="2"/>
        <v>Matched</v>
      </c>
      <c r="R20" s="6" t="s">
        <v>48</v>
      </c>
      <c r="S20" s="1" t="str">
        <f t="shared" si="3"/>
        <v>Matched</v>
      </c>
      <c r="T20" s="1" t="s">
        <v>48</v>
      </c>
      <c r="U20" s="6" t="str">
        <f t="shared" si="4"/>
        <v>Matched</v>
      </c>
      <c r="V20" s="6" t="s">
        <v>48</v>
      </c>
      <c r="W20" s="6" t="str">
        <f t="shared" si="5"/>
        <v>Matched</v>
      </c>
      <c r="X20" s="6" t="s">
        <v>48</v>
      </c>
      <c r="Y20" s="6" t="str">
        <f t="shared" si="6"/>
        <v>Matched</v>
      </c>
      <c r="Z20" s="1" t="s">
        <v>48</v>
      </c>
      <c r="AA20" s="6" t="str">
        <f t="shared" si="7"/>
        <v>Matched</v>
      </c>
      <c r="AB20" s="6" t="s">
        <v>48</v>
      </c>
      <c r="AC20" s="6" t="str">
        <f t="shared" si="8"/>
        <v>Matched</v>
      </c>
      <c r="AD20" s="6" t="s">
        <v>48</v>
      </c>
      <c r="AE20" s="6" t="str">
        <f t="shared" si="9"/>
        <v>Matched</v>
      </c>
      <c r="AF20" s="6" t="s">
        <v>48</v>
      </c>
      <c r="AG20" s="6" t="str">
        <f t="shared" si="10"/>
        <v>Matched</v>
      </c>
      <c r="AH20" s="6" t="s">
        <v>48</v>
      </c>
      <c r="AI20" s="6" t="str">
        <f t="shared" si="11"/>
        <v>Matched</v>
      </c>
      <c r="AJ20" s="6" t="s">
        <v>48</v>
      </c>
      <c r="AK20" s="6" t="str">
        <f t="shared" si="12"/>
        <v>Matched</v>
      </c>
      <c r="AL20" s="12" t="s">
        <v>48</v>
      </c>
      <c r="AM20" s="6" t="str">
        <f t="shared" si="13"/>
        <v>Matched</v>
      </c>
      <c r="AN20" s="6" t="s">
        <v>48</v>
      </c>
      <c r="AO20" s="6" t="str">
        <f t="shared" si="14"/>
        <v>Matched</v>
      </c>
      <c r="AP20" s="6" t="s">
        <v>48</v>
      </c>
      <c r="AQ20" s="6" t="str">
        <f t="shared" si="15"/>
        <v>Matched</v>
      </c>
      <c r="AR20" s="6" t="s">
        <v>48</v>
      </c>
      <c r="AS20" s="6" t="str">
        <f t="shared" si="16"/>
        <v>Matched</v>
      </c>
      <c r="AT20" s="13" t="s">
        <v>48</v>
      </c>
      <c r="AU20" s="6" t="str">
        <f t="shared" si="17"/>
        <v>Matched</v>
      </c>
      <c r="AV20" s="14" t="s">
        <v>48</v>
      </c>
      <c r="AW20" s="6" t="str">
        <f t="shared" si="18"/>
        <v>Matched</v>
      </c>
    </row>
    <row r="21" spans="1:49" x14ac:dyDescent="0.35">
      <c r="A21" s="1" t="s">
        <v>93</v>
      </c>
      <c r="B21" s="6">
        <v>22</v>
      </c>
      <c r="C21" s="1" t="s">
        <v>137</v>
      </c>
      <c r="D21" s="1" t="s">
        <v>141</v>
      </c>
      <c r="E21" s="10">
        <v>46190</v>
      </c>
      <c r="F21" s="6" t="s">
        <v>91</v>
      </c>
      <c r="G21" s="1" t="s">
        <v>142</v>
      </c>
      <c r="H21" s="1" t="s">
        <v>143</v>
      </c>
      <c r="I21" s="1">
        <v>20</v>
      </c>
      <c r="J21" s="1" t="s">
        <v>78</v>
      </c>
      <c r="K21" s="1" t="s">
        <v>142</v>
      </c>
      <c r="L21" s="6" t="s">
        <v>142</v>
      </c>
      <c r="M21" s="1" t="str">
        <f t="shared" si="0"/>
        <v>Matched</v>
      </c>
      <c r="N21" s="1" t="s">
        <v>142</v>
      </c>
      <c r="O21" s="1" t="str">
        <f t="shared" si="1"/>
        <v>Matched</v>
      </c>
      <c r="P21" s="6" t="s">
        <v>142</v>
      </c>
      <c r="Q21" s="1" t="str">
        <f t="shared" si="2"/>
        <v>Matched</v>
      </c>
      <c r="R21" s="6" t="s">
        <v>142</v>
      </c>
      <c r="S21" s="1" t="str">
        <f t="shared" si="3"/>
        <v>Matched</v>
      </c>
      <c r="T21" s="1" t="s">
        <v>142</v>
      </c>
      <c r="U21" s="6" t="str">
        <f t="shared" si="4"/>
        <v>Matched</v>
      </c>
      <c r="V21" s="6" t="s">
        <v>142</v>
      </c>
      <c r="W21" s="6" t="str">
        <f t="shared" si="5"/>
        <v>Matched</v>
      </c>
      <c r="X21" s="6" t="s">
        <v>142</v>
      </c>
      <c r="Y21" s="6" t="str">
        <f t="shared" si="6"/>
        <v>Matched</v>
      </c>
      <c r="Z21" s="1" t="s">
        <v>142</v>
      </c>
      <c r="AA21" s="6" t="str">
        <f t="shared" si="7"/>
        <v>Matched</v>
      </c>
      <c r="AB21" s="6" t="s">
        <v>142</v>
      </c>
      <c r="AC21" s="6" t="str">
        <f t="shared" si="8"/>
        <v>Matched</v>
      </c>
      <c r="AD21" s="6" t="s">
        <v>142</v>
      </c>
      <c r="AE21" s="6" t="str">
        <f t="shared" si="9"/>
        <v>Matched</v>
      </c>
      <c r="AF21" s="6" t="s">
        <v>142</v>
      </c>
      <c r="AG21" s="6" t="str">
        <f t="shared" si="10"/>
        <v>Matched</v>
      </c>
      <c r="AH21" s="6" t="s">
        <v>142</v>
      </c>
      <c r="AI21" s="6" t="str">
        <f t="shared" si="11"/>
        <v>Matched</v>
      </c>
      <c r="AJ21" s="6" t="s">
        <v>59</v>
      </c>
      <c r="AK21" s="6" t="str">
        <f t="shared" si="12"/>
        <v>No Match</v>
      </c>
      <c r="AL21" s="12" t="s">
        <v>142</v>
      </c>
      <c r="AM21" s="6" t="str">
        <f t="shared" si="13"/>
        <v>Matched</v>
      </c>
      <c r="AN21" s="6" t="s">
        <v>142</v>
      </c>
      <c r="AO21" s="6" t="str">
        <f t="shared" si="14"/>
        <v>Matched</v>
      </c>
      <c r="AP21" s="6" t="s">
        <v>142</v>
      </c>
      <c r="AQ21" s="6" t="str">
        <f t="shared" si="15"/>
        <v>Matched</v>
      </c>
      <c r="AR21" s="6" t="s">
        <v>142</v>
      </c>
      <c r="AS21" s="6" t="str">
        <f t="shared" si="16"/>
        <v>Matched</v>
      </c>
      <c r="AT21" s="13" t="s">
        <v>142</v>
      </c>
      <c r="AU21" s="6" t="str">
        <f t="shared" si="17"/>
        <v>Matched</v>
      </c>
      <c r="AV21" s="14" t="s">
        <v>142</v>
      </c>
      <c r="AW21" s="6" t="str">
        <f t="shared" si="18"/>
        <v>Matched</v>
      </c>
    </row>
    <row r="22" spans="1:49" x14ac:dyDescent="0.35">
      <c r="A22" s="1" t="s">
        <v>142</v>
      </c>
      <c r="B22" s="6">
        <v>23</v>
      </c>
      <c r="C22" s="1" t="s">
        <v>144</v>
      </c>
      <c r="D22" s="1" t="s">
        <v>145</v>
      </c>
      <c r="E22" s="10">
        <v>46191</v>
      </c>
      <c r="F22" s="11">
        <v>0.20833333333333334</v>
      </c>
      <c r="G22" s="1" t="s">
        <v>74</v>
      </c>
      <c r="H22" s="1" t="s">
        <v>146</v>
      </c>
      <c r="I22" s="1">
        <v>23</v>
      </c>
      <c r="J22" s="1" t="s">
        <v>101</v>
      </c>
      <c r="K22" s="1" t="s">
        <v>59</v>
      </c>
      <c r="L22" s="6" t="s">
        <v>74</v>
      </c>
      <c r="M22" s="1" t="str">
        <f t="shared" si="0"/>
        <v>No Match</v>
      </c>
      <c r="N22" s="1" t="s">
        <v>74</v>
      </c>
      <c r="O22" s="1" t="str">
        <f t="shared" si="1"/>
        <v>No Match</v>
      </c>
      <c r="P22" s="6" t="s">
        <v>74</v>
      </c>
      <c r="Q22" s="1" t="str">
        <f t="shared" si="2"/>
        <v>No Match</v>
      </c>
      <c r="R22" s="1" t="s">
        <v>74</v>
      </c>
      <c r="S22" s="1" t="str">
        <f t="shared" si="3"/>
        <v>No Match</v>
      </c>
      <c r="T22" s="1" t="s">
        <v>74</v>
      </c>
      <c r="U22" s="6" t="str">
        <f t="shared" si="4"/>
        <v>No Match</v>
      </c>
      <c r="V22" s="6" t="s">
        <v>74</v>
      </c>
      <c r="W22" s="6" t="str">
        <f t="shared" si="5"/>
        <v>No Match</v>
      </c>
      <c r="X22" s="6" t="s">
        <v>74</v>
      </c>
      <c r="Y22" s="6" t="str">
        <f t="shared" si="6"/>
        <v>No Match</v>
      </c>
      <c r="Z22" s="1" t="s">
        <v>74</v>
      </c>
      <c r="AA22" s="6" t="str">
        <f t="shared" si="7"/>
        <v>No Match</v>
      </c>
      <c r="AB22" s="6" t="s">
        <v>147</v>
      </c>
      <c r="AC22" s="6" t="str">
        <f t="shared" si="8"/>
        <v>No Match</v>
      </c>
      <c r="AD22" s="6" t="s">
        <v>147</v>
      </c>
      <c r="AE22" s="6" t="str">
        <f t="shared" si="9"/>
        <v>No Match</v>
      </c>
      <c r="AF22" s="6" t="s">
        <v>74</v>
      </c>
      <c r="AG22" s="6" t="str">
        <f t="shared" si="10"/>
        <v>No Match</v>
      </c>
      <c r="AH22" s="6" t="s">
        <v>74</v>
      </c>
      <c r="AI22" s="6" t="str">
        <f t="shared" si="11"/>
        <v>No Match</v>
      </c>
      <c r="AJ22" s="6" t="s">
        <v>74</v>
      </c>
      <c r="AK22" s="6" t="str">
        <f t="shared" si="12"/>
        <v>No Match</v>
      </c>
      <c r="AL22" s="12" t="s">
        <v>74</v>
      </c>
      <c r="AM22" s="6" t="str">
        <f t="shared" si="13"/>
        <v>No Match</v>
      </c>
      <c r="AN22" s="6" t="s">
        <v>74</v>
      </c>
      <c r="AO22" s="6" t="str">
        <f t="shared" si="14"/>
        <v>No Match</v>
      </c>
      <c r="AP22" s="6" t="s">
        <v>74</v>
      </c>
      <c r="AQ22" s="6" t="str">
        <f t="shared" si="15"/>
        <v>No Match</v>
      </c>
      <c r="AR22" s="6" t="s">
        <v>74</v>
      </c>
      <c r="AS22" s="6" t="str">
        <f t="shared" si="16"/>
        <v>No Match</v>
      </c>
      <c r="AT22" s="13" t="s">
        <v>74</v>
      </c>
      <c r="AU22" s="6" t="str">
        <f t="shared" si="17"/>
        <v>No Match</v>
      </c>
      <c r="AV22" s="14" t="s">
        <v>74</v>
      </c>
      <c r="AW22" s="6" t="str">
        <f t="shared" si="18"/>
        <v>No Match</v>
      </c>
    </row>
    <row r="23" spans="1:49" x14ac:dyDescent="0.35">
      <c r="A23" s="1" t="s">
        <v>109</v>
      </c>
      <c r="B23" s="6">
        <v>24</v>
      </c>
      <c r="C23" s="1" t="s">
        <v>148</v>
      </c>
      <c r="D23" s="1" t="s">
        <v>149</v>
      </c>
      <c r="E23" s="10">
        <v>46191</v>
      </c>
      <c r="F23" s="11">
        <v>0.33333333333333331</v>
      </c>
      <c r="G23" s="1" t="s">
        <v>67</v>
      </c>
      <c r="H23" s="1" t="s">
        <v>106</v>
      </c>
      <c r="I23" s="1">
        <v>21</v>
      </c>
      <c r="J23" s="1" t="s">
        <v>105</v>
      </c>
      <c r="K23" s="1" t="s">
        <v>67</v>
      </c>
      <c r="L23" s="6" t="s">
        <v>59</v>
      </c>
      <c r="M23" s="1" t="str">
        <f t="shared" si="0"/>
        <v>No Match</v>
      </c>
      <c r="N23" s="6" t="s">
        <v>59</v>
      </c>
      <c r="O23" s="1" t="str">
        <f t="shared" si="1"/>
        <v>No Match</v>
      </c>
      <c r="P23" s="6" t="s">
        <v>106</v>
      </c>
      <c r="Q23" s="1" t="str">
        <f t="shared" si="2"/>
        <v>No Match</v>
      </c>
      <c r="R23" s="6" t="s">
        <v>67</v>
      </c>
      <c r="S23" s="1" t="str">
        <f t="shared" si="3"/>
        <v>Matched</v>
      </c>
      <c r="T23" s="1" t="s">
        <v>106</v>
      </c>
      <c r="U23" s="6" t="str">
        <f t="shared" si="4"/>
        <v>No Match</v>
      </c>
      <c r="V23" s="6" t="s">
        <v>67</v>
      </c>
      <c r="W23" s="6" t="str">
        <f t="shared" si="5"/>
        <v>Matched</v>
      </c>
      <c r="X23" s="6" t="s">
        <v>67</v>
      </c>
      <c r="Y23" s="6" t="str">
        <f t="shared" si="6"/>
        <v>Matched</v>
      </c>
      <c r="Z23" s="1" t="s">
        <v>67</v>
      </c>
      <c r="AA23" s="6" t="str">
        <f t="shared" si="7"/>
        <v>Matched</v>
      </c>
      <c r="AB23" s="6" t="s">
        <v>67</v>
      </c>
      <c r="AC23" s="6" t="str">
        <f t="shared" si="8"/>
        <v>Matched</v>
      </c>
      <c r="AD23" s="6" t="s">
        <v>67</v>
      </c>
      <c r="AE23" s="6" t="str">
        <f t="shared" si="9"/>
        <v>Matched</v>
      </c>
      <c r="AF23" s="6" t="s">
        <v>67</v>
      </c>
      <c r="AG23" s="6" t="str">
        <f t="shared" si="10"/>
        <v>Matched</v>
      </c>
      <c r="AH23" s="6" t="s">
        <v>67</v>
      </c>
      <c r="AI23" s="6" t="str">
        <f t="shared" si="11"/>
        <v>Matched</v>
      </c>
      <c r="AJ23" s="12" t="s">
        <v>67</v>
      </c>
      <c r="AK23" s="6" t="str">
        <f t="shared" si="12"/>
        <v>Matched</v>
      </c>
      <c r="AL23" s="12" t="s">
        <v>67</v>
      </c>
      <c r="AM23" s="6" t="str">
        <f t="shared" si="13"/>
        <v>Matched</v>
      </c>
      <c r="AN23" s="6" t="s">
        <v>67</v>
      </c>
      <c r="AO23" s="6" t="str">
        <f t="shared" si="14"/>
        <v>Matched</v>
      </c>
      <c r="AP23" s="6" t="s">
        <v>106</v>
      </c>
      <c r="AQ23" s="6" t="str">
        <f t="shared" si="15"/>
        <v>No Match</v>
      </c>
      <c r="AR23" s="6" t="s">
        <v>67</v>
      </c>
      <c r="AS23" s="6" t="str">
        <f t="shared" si="16"/>
        <v>Matched</v>
      </c>
      <c r="AT23" s="13" t="s">
        <v>67</v>
      </c>
      <c r="AU23" s="6" t="str">
        <f t="shared" si="17"/>
        <v>Matched</v>
      </c>
      <c r="AV23" s="14" t="s">
        <v>67</v>
      </c>
      <c r="AW23" s="6" t="str">
        <f t="shared" si="18"/>
        <v>Matched</v>
      </c>
    </row>
    <row r="24" spans="1:49" x14ac:dyDescent="0.35">
      <c r="A24" s="1" t="s">
        <v>56</v>
      </c>
      <c r="B24" s="6">
        <v>25</v>
      </c>
      <c r="C24" s="1" t="s">
        <v>148</v>
      </c>
      <c r="D24" s="1" t="s">
        <v>150</v>
      </c>
      <c r="E24" s="10">
        <v>46191</v>
      </c>
      <c r="F24" s="11">
        <v>0.45833333333333331</v>
      </c>
      <c r="G24" s="1" t="s">
        <v>151</v>
      </c>
      <c r="H24" s="1" t="s">
        <v>152</v>
      </c>
      <c r="I24" s="1">
        <v>22</v>
      </c>
      <c r="J24" s="1" t="s">
        <v>66</v>
      </c>
      <c r="K24" s="1" t="s">
        <v>151</v>
      </c>
      <c r="L24" s="6" t="s">
        <v>152</v>
      </c>
      <c r="M24" s="1" t="str">
        <f t="shared" si="0"/>
        <v>No Match</v>
      </c>
      <c r="N24" s="6" t="s">
        <v>152</v>
      </c>
      <c r="O24" s="1" t="str">
        <f t="shared" si="1"/>
        <v>No Match</v>
      </c>
      <c r="P24" s="6" t="s">
        <v>151</v>
      </c>
      <c r="Q24" s="1" t="str">
        <f t="shared" si="2"/>
        <v>Matched</v>
      </c>
      <c r="R24" s="1" t="s">
        <v>151</v>
      </c>
      <c r="S24" s="1" t="str">
        <f t="shared" si="3"/>
        <v>Matched</v>
      </c>
      <c r="T24" s="1" t="s">
        <v>151</v>
      </c>
      <c r="U24" s="6" t="str">
        <f t="shared" si="4"/>
        <v>Matched</v>
      </c>
      <c r="V24" s="6" t="s">
        <v>151</v>
      </c>
      <c r="W24" s="6" t="str">
        <f t="shared" si="5"/>
        <v>Matched</v>
      </c>
      <c r="X24" s="6" t="s">
        <v>59</v>
      </c>
      <c r="Y24" s="6" t="str">
        <f t="shared" si="6"/>
        <v>No Match</v>
      </c>
      <c r="Z24" s="1" t="s">
        <v>151</v>
      </c>
      <c r="AA24" s="6" t="str">
        <f t="shared" si="7"/>
        <v>Matched</v>
      </c>
      <c r="AB24" s="6" t="s">
        <v>151</v>
      </c>
      <c r="AC24" s="6" t="str">
        <f t="shared" si="8"/>
        <v>Matched</v>
      </c>
      <c r="AD24" s="6" t="s">
        <v>152</v>
      </c>
      <c r="AE24" s="6" t="str">
        <f t="shared" si="9"/>
        <v>No Match</v>
      </c>
      <c r="AF24" s="6" t="s">
        <v>151</v>
      </c>
      <c r="AG24" s="6" t="str">
        <f t="shared" si="10"/>
        <v>Matched</v>
      </c>
      <c r="AH24" s="6" t="s">
        <v>151</v>
      </c>
      <c r="AI24" s="6" t="str">
        <f t="shared" si="11"/>
        <v>Matched</v>
      </c>
      <c r="AJ24" s="6" t="s">
        <v>152</v>
      </c>
      <c r="AK24" s="6" t="str">
        <f t="shared" si="12"/>
        <v>No Match</v>
      </c>
      <c r="AL24" s="12" t="s">
        <v>151</v>
      </c>
      <c r="AM24" s="6" t="str">
        <f t="shared" si="13"/>
        <v>Matched</v>
      </c>
      <c r="AN24" s="6" t="s">
        <v>152</v>
      </c>
      <c r="AO24" s="6" t="str">
        <f t="shared" si="14"/>
        <v>No Match</v>
      </c>
      <c r="AP24" s="6" t="s">
        <v>151</v>
      </c>
      <c r="AQ24" s="6" t="str">
        <f t="shared" si="15"/>
        <v>Matched</v>
      </c>
      <c r="AR24" s="6" t="s">
        <v>151</v>
      </c>
      <c r="AS24" s="6" t="str">
        <f t="shared" si="16"/>
        <v>Matched</v>
      </c>
      <c r="AT24" s="13" t="s">
        <v>151</v>
      </c>
      <c r="AU24" s="6" t="str">
        <f t="shared" si="17"/>
        <v>Matched</v>
      </c>
      <c r="AV24" s="14" t="s">
        <v>152</v>
      </c>
      <c r="AW24" s="6" t="str">
        <f t="shared" si="18"/>
        <v>No Match</v>
      </c>
    </row>
    <row r="25" spans="1:49" x14ac:dyDescent="0.35">
      <c r="A25" s="1" t="s">
        <v>92</v>
      </c>
      <c r="B25" s="6">
        <v>27</v>
      </c>
      <c r="C25" s="1" t="s">
        <v>144</v>
      </c>
      <c r="D25" s="1" t="s">
        <v>153</v>
      </c>
      <c r="E25" s="10">
        <v>46191</v>
      </c>
      <c r="F25" s="11">
        <v>0.58333333333333337</v>
      </c>
      <c r="G25" s="1" t="s">
        <v>154</v>
      </c>
      <c r="H25" s="1" t="s">
        <v>111</v>
      </c>
      <c r="I25" s="1">
        <v>24</v>
      </c>
      <c r="J25" s="1" t="s">
        <v>53</v>
      </c>
      <c r="K25" s="1" t="s">
        <v>111</v>
      </c>
      <c r="L25" s="6" t="s">
        <v>111</v>
      </c>
      <c r="M25" s="1" t="str">
        <f t="shared" si="0"/>
        <v>Matched</v>
      </c>
      <c r="N25" s="1" t="s">
        <v>111</v>
      </c>
      <c r="O25" s="1" t="str">
        <f t="shared" si="1"/>
        <v>Matched</v>
      </c>
      <c r="P25" s="6" t="s">
        <v>111</v>
      </c>
      <c r="Q25" s="1" t="str">
        <f t="shared" si="2"/>
        <v>Matched</v>
      </c>
      <c r="R25" s="1" t="s">
        <v>111</v>
      </c>
      <c r="S25" s="1" t="str">
        <f t="shared" si="3"/>
        <v>Matched</v>
      </c>
      <c r="T25" s="1" t="s">
        <v>111</v>
      </c>
      <c r="U25" s="6" t="str">
        <f t="shared" si="4"/>
        <v>Matched</v>
      </c>
      <c r="V25" s="6" t="s">
        <v>111</v>
      </c>
      <c r="W25" s="6" t="str">
        <f t="shared" si="5"/>
        <v>Matched</v>
      </c>
      <c r="X25" s="6" t="s">
        <v>111</v>
      </c>
      <c r="Y25" s="6" t="str">
        <f t="shared" si="6"/>
        <v>Matched</v>
      </c>
      <c r="Z25" s="1" t="s">
        <v>111</v>
      </c>
      <c r="AA25" s="6" t="str">
        <f t="shared" si="7"/>
        <v>Matched</v>
      </c>
      <c r="AB25" s="6" t="s">
        <v>111</v>
      </c>
      <c r="AC25" s="6" t="str">
        <f t="shared" si="8"/>
        <v>Matched</v>
      </c>
      <c r="AD25" s="6" t="s">
        <v>111</v>
      </c>
      <c r="AE25" s="6" t="str">
        <f t="shared" si="9"/>
        <v>Matched</v>
      </c>
      <c r="AF25" s="6" t="s">
        <v>111</v>
      </c>
      <c r="AG25" s="6" t="str">
        <f t="shared" si="10"/>
        <v>Matched</v>
      </c>
      <c r="AH25" s="6" t="s">
        <v>111</v>
      </c>
      <c r="AI25" s="6" t="str">
        <f t="shared" si="11"/>
        <v>Matched</v>
      </c>
      <c r="AJ25" s="6" t="s">
        <v>111</v>
      </c>
      <c r="AK25" s="6" t="str">
        <f t="shared" si="12"/>
        <v>Matched</v>
      </c>
      <c r="AL25" s="12" t="s">
        <v>111</v>
      </c>
      <c r="AM25" s="6" t="str">
        <f t="shared" si="13"/>
        <v>Matched</v>
      </c>
      <c r="AN25" s="6" t="s">
        <v>111</v>
      </c>
      <c r="AO25" s="6" t="str">
        <f t="shared" si="14"/>
        <v>Matched</v>
      </c>
      <c r="AP25" s="6" t="s">
        <v>111</v>
      </c>
      <c r="AQ25" s="6" t="str">
        <f t="shared" si="15"/>
        <v>Matched</v>
      </c>
      <c r="AR25" s="6" t="s">
        <v>111</v>
      </c>
      <c r="AS25" s="6" t="str">
        <f t="shared" si="16"/>
        <v>Matched</v>
      </c>
      <c r="AT25" s="13" t="s">
        <v>111</v>
      </c>
      <c r="AU25" s="6" t="str">
        <f t="shared" si="17"/>
        <v>Matched</v>
      </c>
      <c r="AV25" s="14" t="s">
        <v>111</v>
      </c>
      <c r="AW25" s="6" t="str">
        <f t="shared" si="18"/>
        <v>Matched</v>
      </c>
    </row>
    <row r="26" spans="1:49" x14ac:dyDescent="0.35">
      <c r="A26" s="1" t="s">
        <v>139</v>
      </c>
      <c r="B26" s="6">
        <v>28</v>
      </c>
      <c r="C26" s="1" t="s">
        <v>49</v>
      </c>
      <c r="D26" s="1" t="s">
        <v>155</v>
      </c>
      <c r="E26" s="10">
        <v>46192</v>
      </c>
      <c r="F26" s="11">
        <v>0.16666666666666666</v>
      </c>
      <c r="G26" s="1" t="s">
        <v>57</v>
      </c>
      <c r="H26" s="1" t="s">
        <v>52</v>
      </c>
      <c r="I26" s="1">
        <v>25</v>
      </c>
      <c r="J26" s="1" t="s">
        <v>119</v>
      </c>
      <c r="K26" s="1" t="s">
        <v>59</v>
      </c>
      <c r="L26" s="6" t="s">
        <v>57</v>
      </c>
      <c r="M26" s="1" t="str">
        <f t="shared" si="0"/>
        <v>No Match</v>
      </c>
      <c r="N26" s="6" t="s">
        <v>57</v>
      </c>
      <c r="O26" s="1" t="str">
        <f t="shared" si="1"/>
        <v>No Match</v>
      </c>
      <c r="P26" s="6" t="s">
        <v>52</v>
      </c>
      <c r="Q26" s="1" t="str">
        <f t="shared" si="2"/>
        <v>No Match</v>
      </c>
      <c r="R26" s="1" t="s">
        <v>57</v>
      </c>
      <c r="S26" s="1" t="str">
        <f t="shared" si="3"/>
        <v>No Match</v>
      </c>
      <c r="T26" s="1" t="s">
        <v>57</v>
      </c>
      <c r="U26" s="6" t="str">
        <f t="shared" si="4"/>
        <v>No Match</v>
      </c>
      <c r="V26" s="6" t="s">
        <v>57</v>
      </c>
      <c r="W26" s="6" t="str">
        <f t="shared" si="5"/>
        <v>No Match</v>
      </c>
      <c r="X26" s="1" t="s">
        <v>57</v>
      </c>
      <c r="Y26" s="6" t="str">
        <f t="shared" si="6"/>
        <v>No Match</v>
      </c>
      <c r="Z26" s="1" t="s">
        <v>52</v>
      </c>
      <c r="AA26" s="6" t="str">
        <f t="shared" si="7"/>
        <v>No Match</v>
      </c>
      <c r="AB26" s="16" t="s">
        <v>57</v>
      </c>
      <c r="AC26" s="6" t="str">
        <f t="shared" si="8"/>
        <v>No Match</v>
      </c>
      <c r="AD26" s="16" t="s">
        <v>57</v>
      </c>
      <c r="AE26" s="6" t="str">
        <f t="shared" si="9"/>
        <v>No Match</v>
      </c>
      <c r="AF26" s="6" t="s">
        <v>57</v>
      </c>
      <c r="AG26" s="6" t="str">
        <f t="shared" si="10"/>
        <v>No Match</v>
      </c>
      <c r="AH26" s="6" t="s">
        <v>57</v>
      </c>
      <c r="AI26" s="6" t="str">
        <f t="shared" si="11"/>
        <v>No Match</v>
      </c>
      <c r="AJ26" s="6" t="s">
        <v>59</v>
      </c>
      <c r="AK26" s="6" t="str">
        <f t="shared" si="12"/>
        <v>Matched</v>
      </c>
      <c r="AL26" s="12" t="s">
        <v>57</v>
      </c>
      <c r="AM26" s="6" t="str">
        <f t="shared" si="13"/>
        <v>No Match</v>
      </c>
      <c r="AN26" s="6" t="s">
        <v>57</v>
      </c>
      <c r="AO26" s="6" t="str">
        <f t="shared" si="14"/>
        <v>No Match</v>
      </c>
      <c r="AP26" s="6" t="s">
        <v>57</v>
      </c>
      <c r="AQ26" s="6" t="str">
        <f t="shared" si="15"/>
        <v>No Match</v>
      </c>
      <c r="AR26" s="6" t="s">
        <v>57</v>
      </c>
      <c r="AS26" s="6" t="str">
        <f t="shared" si="16"/>
        <v>No Match</v>
      </c>
      <c r="AT26" s="13" t="s">
        <v>57</v>
      </c>
      <c r="AU26" s="6" t="str">
        <f t="shared" si="17"/>
        <v>No Match</v>
      </c>
      <c r="AV26" s="14" t="s">
        <v>57</v>
      </c>
      <c r="AW26" s="6" t="str">
        <f t="shared" si="18"/>
        <v>No Match</v>
      </c>
    </row>
    <row r="27" spans="1:49" ht="26" x14ac:dyDescent="0.35">
      <c r="A27" s="1" t="s">
        <v>123</v>
      </c>
      <c r="B27" s="6">
        <v>29</v>
      </c>
      <c r="C27" s="1" t="s">
        <v>61</v>
      </c>
      <c r="D27" s="1" t="s">
        <v>156</v>
      </c>
      <c r="E27" s="10">
        <v>46192</v>
      </c>
      <c r="F27" s="11">
        <v>0.29166666666666669</v>
      </c>
      <c r="G27" s="1" t="s">
        <v>77</v>
      </c>
      <c r="H27" s="1" t="s">
        <v>65</v>
      </c>
      <c r="I27" s="1">
        <v>26</v>
      </c>
      <c r="J27" s="1" t="s">
        <v>73</v>
      </c>
      <c r="K27" s="1" t="s">
        <v>77</v>
      </c>
      <c r="L27" s="6" t="s">
        <v>77</v>
      </c>
      <c r="M27" s="1" t="str">
        <f t="shared" si="0"/>
        <v>Matched</v>
      </c>
      <c r="N27" s="1" t="s">
        <v>59</v>
      </c>
      <c r="O27" s="1" t="str">
        <f t="shared" si="1"/>
        <v>No Match</v>
      </c>
      <c r="P27" s="6" t="s">
        <v>77</v>
      </c>
      <c r="Q27" s="1" t="str">
        <f t="shared" si="2"/>
        <v>Matched</v>
      </c>
      <c r="R27" s="1" t="s">
        <v>77</v>
      </c>
      <c r="S27" s="1" t="str">
        <f t="shared" si="3"/>
        <v>Matched</v>
      </c>
      <c r="T27" s="1" t="s">
        <v>65</v>
      </c>
      <c r="U27" s="6" t="str">
        <f t="shared" si="4"/>
        <v>No Match</v>
      </c>
      <c r="V27" s="6" t="s">
        <v>77</v>
      </c>
      <c r="W27" s="6" t="str">
        <f t="shared" si="5"/>
        <v>Matched</v>
      </c>
      <c r="X27" s="1" t="s">
        <v>77</v>
      </c>
      <c r="Y27" s="6" t="str">
        <f t="shared" si="6"/>
        <v>Matched</v>
      </c>
      <c r="Z27" s="1" t="s">
        <v>65</v>
      </c>
      <c r="AA27" s="6" t="str">
        <f t="shared" si="7"/>
        <v>No Match</v>
      </c>
      <c r="AB27" s="6" t="s">
        <v>77</v>
      </c>
      <c r="AC27" s="6" t="str">
        <f t="shared" si="8"/>
        <v>Matched</v>
      </c>
      <c r="AD27" s="6" t="s">
        <v>77</v>
      </c>
      <c r="AE27" s="6" t="str">
        <f t="shared" si="9"/>
        <v>Matched</v>
      </c>
      <c r="AF27" s="1" t="s">
        <v>77</v>
      </c>
      <c r="AG27" s="6" t="str">
        <f t="shared" si="10"/>
        <v>Matched</v>
      </c>
      <c r="AH27" s="6" t="s">
        <v>77</v>
      </c>
      <c r="AI27" s="6" t="str">
        <f t="shared" si="11"/>
        <v>Matched</v>
      </c>
      <c r="AJ27" s="1" t="s">
        <v>77</v>
      </c>
      <c r="AK27" s="6" t="str">
        <f t="shared" si="12"/>
        <v>Matched</v>
      </c>
      <c r="AL27" s="12" t="s">
        <v>77</v>
      </c>
      <c r="AM27" s="6" t="str">
        <f t="shared" si="13"/>
        <v>Matched</v>
      </c>
      <c r="AN27" s="6" t="s">
        <v>77</v>
      </c>
      <c r="AO27" s="6" t="str">
        <f t="shared" si="14"/>
        <v>Matched</v>
      </c>
      <c r="AP27" s="6" t="s">
        <v>77</v>
      </c>
      <c r="AQ27" s="6" t="str">
        <f t="shared" si="15"/>
        <v>Matched</v>
      </c>
      <c r="AR27" s="6" t="s">
        <v>77</v>
      </c>
      <c r="AS27" s="6" t="str">
        <f t="shared" si="16"/>
        <v>Matched</v>
      </c>
      <c r="AT27" s="13" t="s">
        <v>77</v>
      </c>
      <c r="AU27" s="6" t="str">
        <f t="shared" si="17"/>
        <v>Matched</v>
      </c>
      <c r="AV27" s="14" t="s">
        <v>77</v>
      </c>
      <c r="AW27" s="6" t="str">
        <f t="shared" si="18"/>
        <v>Matched</v>
      </c>
    </row>
    <row r="28" spans="1:49" x14ac:dyDescent="0.35">
      <c r="A28" s="1" t="s">
        <v>64</v>
      </c>
      <c r="B28" s="6">
        <v>30</v>
      </c>
      <c r="C28" s="1" t="s">
        <v>61</v>
      </c>
      <c r="D28" s="1" t="s">
        <v>157</v>
      </c>
      <c r="E28" s="10">
        <v>46192</v>
      </c>
      <c r="F28" s="11">
        <v>0.41666666666666669</v>
      </c>
      <c r="G28" s="1" t="s">
        <v>64</v>
      </c>
      <c r="H28" s="1" t="s">
        <v>76</v>
      </c>
      <c r="I28" s="1">
        <v>27</v>
      </c>
      <c r="J28" s="1" t="s">
        <v>94</v>
      </c>
      <c r="K28" s="1" t="s">
        <v>64</v>
      </c>
      <c r="L28" s="6" t="s">
        <v>59</v>
      </c>
      <c r="M28" s="1" t="str">
        <f t="shared" si="0"/>
        <v>No Match</v>
      </c>
      <c r="N28" s="1" t="s">
        <v>64</v>
      </c>
      <c r="O28" s="1" t="str">
        <f t="shared" si="1"/>
        <v>Matched</v>
      </c>
      <c r="P28" s="6" t="s">
        <v>64</v>
      </c>
      <c r="Q28" s="1" t="str">
        <f t="shared" si="2"/>
        <v>Matched</v>
      </c>
      <c r="R28" s="1" t="s">
        <v>64</v>
      </c>
      <c r="S28" s="1" t="str">
        <f t="shared" si="3"/>
        <v>Matched</v>
      </c>
      <c r="T28" s="1" t="s">
        <v>64</v>
      </c>
      <c r="U28" s="6" t="str">
        <f t="shared" si="4"/>
        <v>Matched</v>
      </c>
      <c r="V28" s="6" t="s">
        <v>64</v>
      </c>
      <c r="W28" s="6" t="str">
        <f t="shared" si="5"/>
        <v>Matched</v>
      </c>
      <c r="X28" s="1" t="s">
        <v>64</v>
      </c>
      <c r="Y28" s="6" t="str">
        <f t="shared" si="6"/>
        <v>Matched</v>
      </c>
      <c r="Z28" s="1" t="s">
        <v>76</v>
      </c>
      <c r="AA28" s="6" t="str">
        <f t="shared" si="7"/>
        <v>No Match</v>
      </c>
      <c r="AB28" s="6" t="s">
        <v>64</v>
      </c>
      <c r="AC28" s="6" t="str">
        <f t="shared" si="8"/>
        <v>Matched</v>
      </c>
      <c r="AD28" s="6" t="s">
        <v>64</v>
      </c>
      <c r="AE28" s="6" t="str">
        <f t="shared" si="9"/>
        <v>Matched</v>
      </c>
      <c r="AF28" s="6" t="s">
        <v>64</v>
      </c>
      <c r="AG28" s="6" t="str">
        <f t="shared" si="10"/>
        <v>Matched</v>
      </c>
      <c r="AH28" s="6" t="s">
        <v>64</v>
      </c>
      <c r="AI28" s="6" t="str">
        <f t="shared" si="11"/>
        <v>Matched</v>
      </c>
      <c r="AJ28" s="12" t="s">
        <v>64</v>
      </c>
      <c r="AK28" s="6" t="str">
        <f t="shared" si="12"/>
        <v>Matched</v>
      </c>
      <c r="AL28" s="12" t="s">
        <v>64</v>
      </c>
      <c r="AM28" s="6" t="str">
        <f t="shared" si="13"/>
        <v>Matched</v>
      </c>
      <c r="AN28" s="6" t="s">
        <v>64</v>
      </c>
      <c r="AO28" s="6" t="str">
        <f t="shared" si="14"/>
        <v>Matched</v>
      </c>
      <c r="AP28" s="6" t="s">
        <v>76</v>
      </c>
      <c r="AQ28" s="6" t="str">
        <f t="shared" si="15"/>
        <v>No Match</v>
      </c>
      <c r="AR28" s="6" t="s">
        <v>64</v>
      </c>
      <c r="AS28" s="6" t="str">
        <f t="shared" si="16"/>
        <v>Matched</v>
      </c>
      <c r="AT28" s="13" t="s">
        <v>64</v>
      </c>
      <c r="AU28" s="6" t="str">
        <f t="shared" si="17"/>
        <v>Matched</v>
      </c>
      <c r="AV28" s="14" t="s">
        <v>64</v>
      </c>
      <c r="AW28" s="6" t="str">
        <f t="shared" si="18"/>
        <v>Matched</v>
      </c>
    </row>
    <row r="29" spans="1:49" x14ac:dyDescent="0.35">
      <c r="A29" s="1" t="s">
        <v>136</v>
      </c>
      <c r="B29" s="6">
        <v>31</v>
      </c>
      <c r="C29" s="1" t="s">
        <v>49</v>
      </c>
      <c r="D29" s="1" t="s">
        <v>158</v>
      </c>
      <c r="E29" s="10">
        <v>46192</v>
      </c>
      <c r="F29" s="11">
        <v>0.54166666666666663</v>
      </c>
      <c r="G29" s="1" t="s">
        <v>51</v>
      </c>
      <c r="H29" s="1" t="s">
        <v>56</v>
      </c>
      <c r="I29" s="1">
        <v>28</v>
      </c>
      <c r="J29" s="1" t="s">
        <v>58</v>
      </c>
      <c r="K29" s="1" t="s">
        <v>51</v>
      </c>
      <c r="L29" s="6" t="s">
        <v>51</v>
      </c>
      <c r="M29" s="1" t="str">
        <f t="shared" si="0"/>
        <v>Matched</v>
      </c>
      <c r="N29" s="1" t="s">
        <v>51</v>
      </c>
      <c r="O29" s="1" t="str">
        <f t="shared" si="1"/>
        <v>Matched</v>
      </c>
      <c r="P29" s="6" t="s">
        <v>51</v>
      </c>
      <c r="Q29" s="1" t="str">
        <f t="shared" si="2"/>
        <v>Matched</v>
      </c>
      <c r="R29" s="1" t="s">
        <v>51</v>
      </c>
      <c r="S29" s="1" t="str">
        <f t="shared" si="3"/>
        <v>Matched</v>
      </c>
      <c r="T29" s="1" t="s">
        <v>51</v>
      </c>
      <c r="U29" s="6" t="str">
        <f t="shared" si="4"/>
        <v>Matched</v>
      </c>
      <c r="V29" s="6" t="s">
        <v>51</v>
      </c>
      <c r="W29" s="6" t="str">
        <f t="shared" si="5"/>
        <v>Matched</v>
      </c>
      <c r="X29" s="1" t="s">
        <v>51</v>
      </c>
      <c r="Y29" s="6" t="str">
        <f t="shared" si="6"/>
        <v>Matched</v>
      </c>
      <c r="Z29" s="1" t="s">
        <v>51</v>
      </c>
      <c r="AA29" s="6" t="str">
        <f t="shared" si="7"/>
        <v>Matched</v>
      </c>
      <c r="AB29" s="6" t="s">
        <v>51</v>
      </c>
      <c r="AC29" s="6" t="str">
        <f t="shared" si="8"/>
        <v>Matched</v>
      </c>
      <c r="AD29" s="6" t="s">
        <v>51</v>
      </c>
      <c r="AE29" s="6" t="str">
        <f t="shared" si="9"/>
        <v>Matched</v>
      </c>
      <c r="AF29" s="6" t="s">
        <v>56</v>
      </c>
      <c r="AG29" s="6" t="str">
        <f t="shared" si="10"/>
        <v>No Match</v>
      </c>
      <c r="AH29" s="6" t="s">
        <v>51</v>
      </c>
      <c r="AI29" s="6" t="str">
        <f t="shared" si="11"/>
        <v>Matched</v>
      </c>
      <c r="AJ29" s="6" t="s">
        <v>59</v>
      </c>
      <c r="AK29" s="6" t="str">
        <f t="shared" si="12"/>
        <v>No Match</v>
      </c>
      <c r="AL29" s="12" t="s">
        <v>51</v>
      </c>
      <c r="AM29" s="6" t="str">
        <f t="shared" si="13"/>
        <v>Matched</v>
      </c>
      <c r="AN29" s="6" t="s">
        <v>51</v>
      </c>
      <c r="AO29" s="6" t="str">
        <f t="shared" si="14"/>
        <v>Matched</v>
      </c>
      <c r="AP29" s="6" t="s">
        <v>51</v>
      </c>
      <c r="AQ29" s="6" t="str">
        <f t="shared" si="15"/>
        <v>Matched</v>
      </c>
      <c r="AR29" s="6" t="s">
        <v>51</v>
      </c>
      <c r="AS29" s="6" t="str">
        <f t="shared" si="16"/>
        <v>Matched</v>
      </c>
      <c r="AT29" s="13" t="s">
        <v>51</v>
      </c>
      <c r="AU29" s="6" t="str">
        <f t="shared" si="17"/>
        <v>Matched</v>
      </c>
      <c r="AV29" s="14" t="s">
        <v>51</v>
      </c>
      <c r="AW29" s="6" t="str">
        <f t="shared" si="18"/>
        <v>Matched</v>
      </c>
    </row>
    <row r="30" spans="1:49" ht="26" x14ac:dyDescent="0.35">
      <c r="A30" s="1" t="s">
        <v>108</v>
      </c>
      <c r="B30" s="6">
        <v>33</v>
      </c>
      <c r="C30" s="1" t="s">
        <v>68</v>
      </c>
      <c r="D30" s="1" t="s">
        <v>159</v>
      </c>
      <c r="E30" s="10">
        <v>46193</v>
      </c>
      <c r="F30" s="11">
        <v>0.29166666666666669</v>
      </c>
      <c r="G30" s="1" t="s">
        <v>71</v>
      </c>
      <c r="H30" s="1" t="s">
        <v>92</v>
      </c>
      <c r="I30" s="1">
        <v>32</v>
      </c>
      <c r="J30" s="1" t="s">
        <v>124</v>
      </c>
      <c r="K30" s="1" t="s">
        <v>71</v>
      </c>
      <c r="L30" s="6" t="s">
        <v>71</v>
      </c>
      <c r="M30" s="1" t="str">
        <f t="shared" si="0"/>
        <v>Matched</v>
      </c>
      <c r="N30" s="1" t="s">
        <v>92</v>
      </c>
      <c r="O30" s="1" t="str">
        <f t="shared" si="1"/>
        <v>No Match</v>
      </c>
      <c r="P30" s="6" t="s">
        <v>71</v>
      </c>
      <c r="Q30" s="1" t="str">
        <f t="shared" si="2"/>
        <v>Matched</v>
      </c>
      <c r="R30" s="1" t="s">
        <v>71</v>
      </c>
      <c r="S30" s="1" t="str">
        <f t="shared" si="3"/>
        <v>Matched</v>
      </c>
      <c r="T30" s="1" t="s">
        <v>92</v>
      </c>
      <c r="U30" s="6" t="str">
        <f t="shared" si="4"/>
        <v>No Match</v>
      </c>
      <c r="V30" s="6" t="s">
        <v>71</v>
      </c>
      <c r="W30" s="6" t="str">
        <f t="shared" si="5"/>
        <v>Matched</v>
      </c>
      <c r="X30" s="1" t="s">
        <v>71</v>
      </c>
      <c r="Y30" s="6" t="str">
        <f t="shared" si="6"/>
        <v>Matched</v>
      </c>
      <c r="Z30" s="1" t="s">
        <v>92</v>
      </c>
      <c r="AA30" s="6" t="str">
        <f t="shared" si="7"/>
        <v>No Match</v>
      </c>
      <c r="AB30" s="6" t="s">
        <v>71</v>
      </c>
      <c r="AC30" s="6" t="str">
        <f t="shared" si="8"/>
        <v>Matched</v>
      </c>
      <c r="AD30" s="6" t="s">
        <v>71</v>
      </c>
      <c r="AE30" s="6" t="str">
        <f t="shared" si="9"/>
        <v>Matched</v>
      </c>
      <c r="AF30" s="6" t="s">
        <v>71</v>
      </c>
      <c r="AG30" s="6" t="str">
        <f t="shared" si="10"/>
        <v>Matched</v>
      </c>
      <c r="AH30" s="6" t="s">
        <v>59</v>
      </c>
      <c r="AI30" s="6" t="str">
        <f t="shared" si="11"/>
        <v>No Match</v>
      </c>
      <c r="AJ30" s="6" t="s">
        <v>71</v>
      </c>
      <c r="AK30" s="6" t="str">
        <f t="shared" si="12"/>
        <v>Matched</v>
      </c>
      <c r="AL30" s="12" t="s">
        <v>71</v>
      </c>
      <c r="AM30" s="6" t="str">
        <f t="shared" si="13"/>
        <v>Matched</v>
      </c>
      <c r="AN30" s="6" t="s">
        <v>71</v>
      </c>
      <c r="AO30" s="6" t="str">
        <f t="shared" si="14"/>
        <v>Matched</v>
      </c>
      <c r="AP30" s="6" t="s">
        <v>71</v>
      </c>
      <c r="AQ30" s="6" t="str">
        <f t="shared" si="15"/>
        <v>Matched</v>
      </c>
      <c r="AR30" s="6" t="s">
        <v>71</v>
      </c>
      <c r="AS30" s="6" t="str">
        <f t="shared" si="16"/>
        <v>Matched</v>
      </c>
      <c r="AT30" s="13" t="s">
        <v>71</v>
      </c>
      <c r="AU30" s="6" t="str">
        <f t="shared" si="17"/>
        <v>Matched</v>
      </c>
      <c r="AV30" s="14" t="s">
        <v>71</v>
      </c>
      <c r="AW30" s="6" t="str">
        <f t="shared" si="18"/>
        <v>Matched</v>
      </c>
    </row>
    <row r="31" spans="1:49" x14ac:dyDescent="0.35">
      <c r="A31" s="1" t="s">
        <v>152</v>
      </c>
      <c r="B31" s="6">
        <v>34</v>
      </c>
      <c r="C31" s="1" t="s">
        <v>80</v>
      </c>
      <c r="D31" s="1" t="s">
        <v>160</v>
      </c>
      <c r="E31" s="10">
        <v>46193</v>
      </c>
      <c r="F31" s="11">
        <v>0.41666666666666669</v>
      </c>
      <c r="G31" s="1" t="s">
        <v>87</v>
      </c>
      <c r="H31" s="1" t="s">
        <v>83</v>
      </c>
      <c r="I31" s="1">
        <v>30</v>
      </c>
      <c r="J31" s="1" t="s">
        <v>88</v>
      </c>
      <c r="K31" s="1" t="s">
        <v>83</v>
      </c>
      <c r="L31" s="6" t="s">
        <v>83</v>
      </c>
      <c r="M31" s="1" t="str">
        <f t="shared" si="0"/>
        <v>Matched</v>
      </c>
      <c r="N31" s="6" t="s">
        <v>83</v>
      </c>
      <c r="O31" s="1" t="str">
        <f t="shared" si="1"/>
        <v>Matched</v>
      </c>
      <c r="P31" s="6" t="s">
        <v>83</v>
      </c>
      <c r="Q31" s="1" t="str">
        <f t="shared" si="2"/>
        <v>Matched</v>
      </c>
      <c r="R31" s="6" t="s">
        <v>59</v>
      </c>
      <c r="S31" s="1" t="str">
        <f t="shared" si="3"/>
        <v>No Match</v>
      </c>
      <c r="T31" s="1" t="s">
        <v>83</v>
      </c>
      <c r="U31" s="6" t="str">
        <f t="shared" si="4"/>
        <v>Matched</v>
      </c>
      <c r="V31" s="6" t="s">
        <v>83</v>
      </c>
      <c r="W31" s="6" t="str">
        <f t="shared" si="5"/>
        <v>Matched</v>
      </c>
      <c r="X31" s="6" t="s">
        <v>59</v>
      </c>
      <c r="Y31" s="6" t="str">
        <f t="shared" si="6"/>
        <v>No Match</v>
      </c>
      <c r="Z31" s="1" t="s">
        <v>83</v>
      </c>
      <c r="AA31" s="6" t="str">
        <f t="shared" si="7"/>
        <v>Matched</v>
      </c>
      <c r="AB31" s="6" t="s">
        <v>83</v>
      </c>
      <c r="AC31" s="6" t="str">
        <f t="shared" si="8"/>
        <v>Matched</v>
      </c>
      <c r="AD31" s="6" t="s">
        <v>83</v>
      </c>
      <c r="AE31" s="6" t="str">
        <f t="shared" si="9"/>
        <v>Matched</v>
      </c>
      <c r="AF31" s="6" t="s">
        <v>87</v>
      </c>
      <c r="AG31" s="6" t="str">
        <f t="shared" si="10"/>
        <v>No Match</v>
      </c>
      <c r="AH31" s="6" t="s">
        <v>87</v>
      </c>
      <c r="AI31" s="6" t="str">
        <f t="shared" si="11"/>
        <v>No Match</v>
      </c>
      <c r="AJ31" s="6" t="s">
        <v>83</v>
      </c>
      <c r="AK31" s="6" t="str">
        <f t="shared" si="12"/>
        <v>Matched</v>
      </c>
      <c r="AL31" s="12" t="s">
        <v>83</v>
      </c>
      <c r="AM31" s="6" t="str">
        <f t="shared" si="13"/>
        <v>Matched</v>
      </c>
      <c r="AN31" s="6" t="s">
        <v>83</v>
      </c>
      <c r="AO31" s="6" t="str">
        <f t="shared" si="14"/>
        <v>Matched</v>
      </c>
      <c r="AP31" s="6" t="s">
        <v>87</v>
      </c>
      <c r="AQ31" s="6" t="str">
        <f t="shared" si="15"/>
        <v>No Match</v>
      </c>
      <c r="AR31" s="6" t="s">
        <v>83</v>
      </c>
      <c r="AS31" s="6" t="str">
        <f t="shared" si="16"/>
        <v>Matched</v>
      </c>
      <c r="AT31" s="13" t="s">
        <v>83</v>
      </c>
      <c r="AU31" s="6" t="str">
        <f t="shared" si="17"/>
        <v>Matched</v>
      </c>
      <c r="AV31" s="14" t="s">
        <v>83</v>
      </c>
      <c r="AW31" s="6" t="str">
        <f t="shared" si="18"/>
        <v>Matched</v>
      </c>
    </row>
    <row r="32" spans="1:49" x14ac:dyDescent="0.35">
      <c r="A32" s="1" t="s">
        <v>113</v>
      </c>
      <c r="B32" s="6">
        <v>38</v>
      </c>
      <c r="C32" s="1" t="s">
        <v>80</v>
      </c>
      <c r="D32" s="1" t="s">
        <v>161</v>
      </c>
      <c r="E32" s="10">
        <v>46193</v>
      </c>
      <c r="F32" s="11">
        <v>0.52083333333333337</v>
      </c>
      <c r="G32" s="1" t="s">
        <v>79</v>
      </c>
      <c r="H32" s="1" t="s">
        <v>86</v>
      </c>
      <c r="I32" s="1">
        <v>29</v>
      </c>
      <c r="J32" s="1" t="s">
        <v>110</v>
      </c>
      <c r="K32" s="1" t="s">
        <v>79</v>
      </c>
      <c r="L32" s="6" t="s">
        <v>79</v>
      </c>
      <c r="M32" s="1" t="str">
        <f t="shared" si="0"/>
        <v>Matched</v>
      </c>
      <c r="N32" s="6" t="s">
        <v>79</v>
      </c>
      <c r="O32" s="1" t="str">
        <f t="shared" si="1"/>
        <v>Matched</v>
      </c>
      <c r="P32" s="6" t="s">
        <v>79</v>
      </c>
      <c r="Q32" s="1" t="str">
        <f t="shared" si="2"/>
        <v>Matched</v>
      </c>
      <c r="R32" s="1" t="s">
        <v>79</v>
      </c>
      <c r="S32" s="1" t="str">
        <f t="shared" si="3"/>
        <v>Matched</v>
      </c>
      <c r="T32" s="1" t="s">
        <v>79</v>
      </c>
      <c r="U32" s="6" t="str">
        <f t="shared" si="4"/>
        <v>Matched</v>
      </c>
      <c r="V32" s="6" t="s">
        <v>79</v>
      </c>
      <c r="W32" s="6" t="str">
        <f t="shared" si="5"/>
        <v>Matched</v>
      </c>
      <c r="X32" s="1" t="s">
        <v>79</v>
      </c>
      <c r="Y32" s="6" t="str">
        <f t="shared" si="6"/>
        <v>Matched</v>
      </c>
      <c r="Z32" s="1" t="s">
        <v>79</v>
      </c>
      <c r="AA32" s="6" t="str">
        <f t="shared" si="7"/>
        <v>Matched</v>
      </c>
      <c r="AB32" s="6" t="s">
        <v>79</v>
      </c>
      <c r="AC32" s="6" t="str">
        <f t="shared" si="8"/>
        <v>Matched</v>
      </c>
      <c r="AD32" s="6" t="s">
        <v>79</v>
      </c>
      <c r="AE32" s="6" t="str">
        <f t="shared" si="9"/>
        <v>Matched</v>
      </c>
      <c r="AF32" s="6" t="s">
        <v>79</v>
      </c>
      <c r="AG32" s="6" t="str">
        <f t="shared" si="10"/>
        <v>Matched</v>
      </c>
      <c r="AH32" s="6" t="s">
        <v>79</v>
      </c>
      <c r="AI32" s="6" t="str">
        <f t="shared" si="11"/>
        <v>Matched</v>
      </c>
      <c r="AJ32" s="6" t="s">
        <v>79</v>
      </c>
      <c r="AK32" s="6" t="str">
        <f t="shared" si="12"/>
        <v>Matched</v>
      </c>
      <c r="AL32" s="12" t="s">
        <v>79</v>
      </c>
      <c r="AM32" s="6" t="str">
        <f t="shared" si="13"/>
        <v>Matched</v>
      </c>
      <c r="AN32" s="6" t="s">
        <v>79</v>
      </c>
      <c r="AO32" s="6" t="str">
        <f t="shared" si="14"/>
        <v>Matched</v>
      </c>
      <c r="AP32" s="6" t="s">
        <v>79</v>
      </c>
      <c r="AQ32" s="6" t="str">
        <f t="shared" si="15"/>
        <v>Matched</v>
      </c>
      <c r="AR32" s="6" t="s">
        <v>79</v>
      </c>
      <c r="AS32" s="6" t="str">
        <f t="shared" si="16"/>
        <v>Matched</v>
      </c>
      <c r="AT32" s="13" t="s">
        <v>79</v>
      </c>
      <c r="AU32" s="6" t="str">
        <f t="shared" si="17"/>
        <v>Matched</v>
      </c>
      <c r="AV32" s="14" t="s">
        <v>79</v>
      </c>
      <c r="AW32" s="6" t="str">
        <f t="shared" si="18"/>
        <v>Matched</v>
      </c>
    </row>
    <row r="33" spans="1:49" x14ac:dyDescent="0.35">
      <c r="A33" s="1" t="s">
        <v>57</v>
      </c>
      <c r="B33" s="6">
        <v>39</v>
      </c>
      <c r="C33" s="1" t="s">
        <v>68</v>
      </c>
      <c r="D33" s="1" t="s">
        <v>162</v>
      </c>
      <c r="E33" s="10">
        <v>46193</v>
      </c>
      <c r="F33" s="11">
        <v>0.625</v>
      </c>
      <c r="G33" s="1" t="s">
        <v>93</v>
      </c>
      <c r="H33" s="1" t="s">
        <v>72</v>
      </c>
      <c r="I33" s="1">
        <v>31</v>
      </c>
      <c r="J33" s="1" t="s">
        <v>78</v>
      </c>
      <c r="K33" s="1" t="s">
        <v>72</v>
      </c>
      <c r="L33" s="1" t="s">
        <v>93</v>
      </c>
      <c r="M33" s="1" t="str">
        <f t="shared" si="0"/>
        <v>No Match</v>
      </c>
      <c r="N33" s="1" t="s">
        <v>93</v>
      </c>
      <c r="O33" s="1" t="str">
        <f t="shared" si="1"/>
        <v>No Match</v>
      </c>
      <c r="P33" s="15" t="s">
        <v>93</v>
      </c>
      <c r="Q33" s="1" t="str">
        <f t="shared" si="2"/>
        <v>No Match</v>
      </c>
      <c r="R33" s="1" t="s">
        <v>93</v>
      </c>
      <c r="S33" s="1" t="str">
        <f t="shared" si="3"/>
        <v>No Match</v>
      </c>
      <c r="T33" s="1" t="s">
        <v>72</v>
      </c>
      <c r="U33" s="6" t="str">
        <f t="shared" si="4"/>
        <v>Matched</v>
      </c>
      <c r="V33" s="6" t="s">
        <v>93</v>
      </c>
      <c r="W33" s="6" t="str">
        <f t="shared" si="5"/>
        <v>No Match</v>
      </c>
      <c r="X33" s="1" t="s">
        <v>93</v>
      </c>
      <c r="Y33" s="6" t="str">
        <f t="shared" si="6"/>
        <v>No Match</v>
      </c>
      <c r="Z33" s="1" t="s">
        <v>93</v>
      </c>
      <c r="AA33" s="6" t="str">
        <f t="shared" si="7"/>
        <v>No Match</v>
      </c>
      <c r="AB33" s="16" t="s">
        <v>93</v>
      </c>
      <c r="AC33" s="6" t="str">
        <f t="shared" si="8"/>
        <v>No Match</v>
      </c>
      <c r="AD33" s="16" t="s">
        <v>93</v>
      </c>
      <c r="AE33" s="6" t="str">
        <f t="shared" si="9"/>
        <v>No Match</v>
      </c>
      <c r="AF33" s="16" t="s">
        <v>163</v>
      </c>
      <c r="AG33" s="6" t="str">
        <f t="shared" si="10"/>
        <v>No Match</v>
      </c>
      <c r="AH33" s="6" t="s">
        <v>164</v>
      </c>
      <c r="AI33" s="6" t="str">
        <f t="shared" si="11"/>
        <v>No Match</v>
      </c>
      <c r="AJ33" s="1" t="s">
        <v>93</v>
      </c>
      <c r="AK33" s="6" t="str">
        <f t="shared" si="12"/>
        <v>No Match</v>
      </c>
      <c r="AL33" s="12" t="s">
        <v>93</v>
      </c>
      <c r="AM33" s="6" t="str">
        <f t="shared" si="13"/>
        <v>No Match</v>
      </c>
      <c r="AN33" s="6" t="s">
        <v>93</v>
      </c>
      <c r="AO33" s="6" t="str">
        <f t="shared" si="14"/>
        <v>No Match</v>
      </c>
      <c r="AP33" s="6" t="s">
        <v>72</v>
      </c>
      <c r="AQ33" s="6" t="str">
        <f t="shared" si="15"/>
        <v>Matched</v>
      </c>
      <c r="AR33" s="1" t="s">
        <v>93</v>
      </c>
      <c r="AS33" s="6" t="str">
        <f t="shared" si="16"/>
        <v>No Match</v>
      </c>
      <c r="AT33" s="13" t="s">
        <v>93</v>
      </c>
      <c r="AU33" s="6" t="str">
        <f t="shared" si="17"/>
        <v>No Match</v>
      </c>
      <c r="AV33" s="14" t="s">
        <v>93</v>
      </c>
      <c r="AW33" s="6" t="str">
        <f t="shared" si="18"/>
        <v>No Match</v>
      </c>
    </row>
    <row r="34" spans="1:49" x14ac:dyDescent="0.35">
      <c r="A34" s="1" t="s">
        <v>72</v>
      </c>
      <c r="B34" s="6">
        <v>40</v>
      </c>
      <c r="C34" s="1" t="s">
        <v>102</v>
      </c>
      <c r="D34" s="1" t="s">
        <v>165</v>
      </c>
      <c r="E34" s="10">
        <v>46194</v>
      </c>
      <c r="F34" s="11">
        <v>0.20833333333333334</v>
      </c>
      <c r="G34" s="1" t="s">
        <v>89</v>
      </c>
      <c r="H34" s="1" t="s">
        <v>113</v>
      </c>
      <c r="I34" s="1">
        <v>35</v>
      </c>
      <c r="J34" s="1" t="s">
        <v>101</v>
      </c>
      <c r="K34" s="1" t="s">
        <v>89</v>
      </c>
      <c r="L34" s="6" t="s">
        <v>89</v>
      </c>
      <c r="M34" s="1" t="str">
        <f t="shared" si="0"/>
        <v>Matched</v>
      </c>
      <c r="N34" s="6" t="s">
        <v>59</v>
      </c>
      <c r="O34" s="1" t="str">
        <f t="shared" si="1"/>
        <v>No Match</v>
      </c>
      <c r="P34" s="6" t="s">
        <v>89</v>
      </c>
      <c r="Q34" s="1" t="str">
        <f t="shared" si="2"/>
        <v>Matched</v>
      </c>
      <c r="R34" s="1" t="s">
        <v>89</v>
      </c>
      <c r="S34" s="1" t="str">
        <f t="shared" si="3"/>
        <v>Matched</v>
      </c>
      <c r="T34" s="1" t="s">
        <v>89</v>
      </c>
      <c r="U34" s="6" t="str">
        <f t="shared" si="4"/>
        <v>Matched</v>
      </c>
      <c r="V34" s="6" t="s">
        <v>89</v>
      </c>
      <c r="W34" s="6" t="str">
        <f t="shared" si="5"/>
        <v>Matched</v>
      </c>
      <c r="X34" s="1" t="s">
        <v>89</v>
      </c>
      <c r="Y34" s="6" t="str">
        <f t="shared" si="6"/>
        <v>Matched</v>
      </c>
      <c r="Z34" s="1" t="s">
        <v>89</v>
      </c>
      <c r="AA34" s="6" t="str">
        <f t="shared" si="7"/>
        <v>Matched</v>
      </c>
      <c r="AB34" s="6" t="s">
        <v>59</v>
      </c>
      <c r="AC34" s="6" t="str">
        <f t="shared" si="8"/>
        <v>No Match</v>
      </c>
      <c r="AD34" s="6" t="s">
        <v>59</v>
      </c>
      <c r="AE34" s="6" t="str">
        <f t="shared" si="9"/>
        <v>No Match</v>
      </c>
      <c r="AF34" s="6" t="s">
        <v>89</v>
      </c>
      <c r="AG34" s="6" t="str">
        <f t="shared" si="10"/>
        <v>Matched</v>
      </c>
      <c r="AH34" s="6" t="s">
        <v>89</v>
      </c>
      <c r="AI34" s="6" t="str">
        <f t="shared" si="11"/>
        <v>Matched</v>
      </c>
      <c r="AJ34" s="1" t="s">
        <v>89</v>
      </c>
      <c r="AK34" s="6" t="str">
        <f t="shared" si="12"/>
        <v>Matched</v>
      </c>
      <c r="AL34" s="12" t="s">
        <v>89</v>
      </c>
      <c r="AM34" s="6" t="str">
        <f t="shared" si="13"/>
        <v>Matched</v>
      </c>
      <c r="AN34" s="6" t="s">
        <v>89</v>
      </c>
      <c r="AO34" s="6" t="str">
        <f t="shared" si="14"/>
        <v>Matched</v>
      </c>
      <c r="AP34" s="6" t="s">
        <v>113</v>
      </c>
      <c r="AQ34" s="6" t="str">
        <f t="shared" si="15"/>
        <v>No Match</v>
      </c>
      <c r="AR34" s="6" t="s">
        <v>89</v>
      </c>
      <c r="AS34" s="6" t="str">
        <f t="shared" si="16"/>
        <v>Matched</v>
      </c>
      <c r="AT34" s="13" t="s">
        <v>89</v>
      </c>
      <c r="AU34" s="6" t="str">
        <f t="shared" si="17"/>
        <v>Matched</v>
      </c>
      <c r="AV34" s="14" t="s">
        <v>89</v>
      </c>
      <c r="AW34" s="6" t="str">
        <f t="shared" si="18"/>
        <v>Matched</v>
      </c>
    </row>
    <row r="35" spans="1:49" x14ac:dyDescent="0.35">
      <c r="A35" s="1" t="s">
        <v>87</v>
      </c>
      <c r="B35" s="6">
        <v>43</v>
      </c>
      <c r="C35" s="1" t="s">
        <v>97</v>
      </c>
      <c r="D35" s="1" t="s">
        <v>166</v>
      </c>
      <c r="E35" s="10">
        <v>46194</v>
      </c>
      <c r="F35" s="11">
        <v>0.33333333333333331</v>
      </c>
      <c r="G35" s="1" t="s">
        <v>99</v>
      </c>
      <c r="H35" s="1" t="s">
        <v>108</v>
      </c>
      <c r="I35" s="1">
        <v>33</v>
      </c>
      <c r="J35" s="1" t="s">
        <v>66</v>
      </c>
      <c r="K35" s="1" t="s">
        <v>99</v>
      </c>
      <c r="L35" s="6" t="s">
        <v>99</v>
      </c>
      <c r="M35" s="1" t="str">
        <f t="shared" si="0"/>
        <v>Matched</v>
      </c>
      <c r="N35" s="1" t="s">
        <v>99</v>
      </c>
      <c r="O35" s="1" t="str">
        <f t="shared" si="1"/>
        <v>Matched</v>
      </c>
      <c r="P35" s="6" t="s">
        <v>99</v>
      </c>
      <c r="Q35" s="1" t="str">
        <f t="shared" si="2"/>
        <v>Matched</v>
      </c>
      <c r="R35" s="1" t="s">
        <v>99</v>
      </c>
      <c r="S35" s="1" t="str">
        <f t="shared" si="3"/>
        <v>Matched</v>
      </c>
      <c r="T35" s="1" t="s">
        <v>99</v>
      </c>
      <c r="U35" s="6" t="str">
        <f t="shared" si="4"/>
        <v>Matched</v>
      </c>
      <c r="V35" s="6" t="s">
        <v>99</v>
      </c>
      <c r="W35" s="6" t="str">
        <f t="shared" si="5"/>
        <v>Matched</v>
      </c>
      <c r="X35" s="1" t="s">
        <v>99</v>
      </c>
      <c r="Y35" s="6" t="str">
        <f t="shared" si="6"/>
        <v>Matched</v>
      </c>
      <c r="Z35" s="1" t="s">
        <v>108</v>
      </c>
      <c r="AA35" s="6" t="str">
        <f t="shared" si="7"/>
        <v>No Match</v>
      </c>
      <c r="AB35" s="6" t="s">
        <v>99</v>
      </c>
      <c r="AC35" s="6" t="str">
        <f t="shared" si="8"/>
        <v>Matched</v>
      </c>
      <c r="AD35" s="6" t="s">
        <v>99</v>
      </c>
      <c r="AE35" s="6" t="str">
        <f t="shared" si="9"/>
        <v>Matched</v>
      </c>
      <c r="AF35" s="6" t="s">
        <v>99</v>
      </c>
      <c r="AG35" s="6" t="str">
        <f t="shared" si="10"/>
        <v>Matched</v>
      </c>
      <c r="AH35" s="6" t="s">
        <v>99</v>
      </c>
      <c r="AI35" s="6" t="str">
        <f t="shared" si="11"/>
        <v>Matched</v>
      </c>
      <c r="AJ35" s="1" t="s">
        <v>99</v>
      </c>
      <c r="AK35" s="6" t="str">
        <f t="shared" si="12"/>
        <v>Matched</v>
      </c>
      <c r="AL35" s="12" t="s">
        <v>99</v>
      </c>
      <c r="AM35" s="6" t="str">
        <f t="shared" si="13"/>
        <v>Matched</v>
      </c>
      <c r="AN35" s="6" t="s">
        <v>99</v>
      </c>
      <c r="AO35" s="6" t="str">
        <f t="shared" si="14"/>
        <v>Matched</v>
      </c>
      <c r="AP35" s="6" t="s">
        <v>99</v>
      </c>
      <c r="AQ35" s="6" t="str">
        <f t="shared" si="15"/>
        <v>Matched</v>
      </c>
      <c r="AR35" s="6" t="s">
        <v>99</v>
      </c>
      <c r="AS35" s="6" t="str">
        <f t="shared" si="16"/>
        <v>Matched</v>
      </c>
      <c r="AT35" s="13" t="s">
        <v>99</v>
      </c>
      <c r="AU35" s="6" t="str">
        <f t="shared" si="17"/>
        <v>Matched</v>
      </c>
      <c r="AV35" s="14" t="s">
        <v>99</v>
      </c>
      <c r="AW35" s="6" t="str">
        <f t="shared" si="18"/>
        <v>Matched</v>
      </c>
    </row>
    <row r="36" spans="1:49" x14ac:dyDescent="0.35">
      <c r="A36" s="1" t="s">
        <v>146</v>
      </c>
      <c r="B36" s="6">
        <v>45</v>
      </c>
      <c r="C36" s="1" t="s">
        <v>97</v>
      </c>
      <c r="D36" s="1" t="s">
        <v>167</v>
      </c>
      <c r="E36" s="10">
        <v>46194</v>
      </c>
      <c r="F36" s="11">
        <v>0.5</v>
      </c>
      <c r="G36" s="1" t="s">
        <v>109</v>
      </c>
      <c r="H36" s="1" t="s">
        <v>100</v>
      </c>
      <c r="I36" s="1">
        <v>34</v>
      </c>
      <c r="J36" s="1" t="s">
        <v>140</v>
      </c>
      <c r="K36" s="1" t="s">
        <v>59</v>
      </c>
      <c r="L36" s="6" t="s">
        <v>109</v>
      </c>
      <c r="M36" s="1" t="str">
        <f t="shared" si="0"/>
        <v>No Match</v>
      </c>
      <c r="N36" s="1" t="s">
        <v>109</v>
      </c>
      <c r="O36" s="1" t="str">
        <f t="shared" si="1"/>
        <v>No Match</v>
      </c>
      <c r="P36" s="6" t="s">
        <v>59</v>
      </c>
      <c r="Q36" s="1" t="str">
        <f t="shared" si="2"/>
        <v>Matched</v>
      </c>
      <c r="R36" s="6" t="s">
        <v>59</v>
      </c>
      <c r="S36" s="1" t="str">
        <f t="shared" si="3"/>
        <v>Matched</v>
      </c>
      <c r="T36" s="1" t="s">
        <v>109</v>
      </c>
      <c r="U36" s="6" t="str">
        <f t="shared" si="4"/>
        <v>No Match</v>
      </c>
      <c r="V36" s="6" t="s">
        <v>109</v>
      </c>
      <c r="W36" s="6" t="str">
        <f t="shared" si="5"/>
        <v>No Match</v>
      </c>
      <c r="X36" s="1" t="s">
        <v>109</v>
      </c>
      <c r="Y36" s="6" t="str">
        <f t="shared" si="6"/>
        <v>No Match</v>
      </c>
      <c r="Z36" s="1" t="s">
        <v>109</v>
      </c>
      <c r="AA36" s="6" t="str">
        <f t="shared" si="7"/>
        <v>No Match</v>
      </c>
      <c r="AB36" s="16" t="s">
        <v>109</v>
      </c>
      <c r="AC36" s="6" t="str">
        <f t="shared" si="8"/>
        <v>No Match</v>
      </c>
      <c r="AD36" s="16" t="s">
        <v>109</v>
      </c>
      <c r="AE36" s="6" t="str">
        <f t="shared" si="9"/>
        <v>No Match</v>
      </c>
      <c r="AF36" s="6" t="s">
        <v>109</v>
      </c>
      <c r="AG36" s="6" t="str">
        <f t="shared" si="10"/>
        <v>No Match</v>
      </c>
      <c r="AH36" s="6" t="s">
        <v>109</v>
      </c>
      <c r="AI36" s="6" t="str">
        <f t="shared" si="11"/>
        <v>No Match</v>
      </c>
      <c r="AJ36" s="1" t="s">
        <v>109</v>
      </c>
      <c r="AK36" s="6" t="str">
        <f t="shared" si="12"/>
        <v>No Match</v>
      </c>
      <c r="AL36" s="12" t="s">
        <v>109</v>
      </c>
      <c r="AM36" s="6" t="str">
        <f t="shared" si="13"/>
        <v>No Match</v>
      </c>
      <c r="AN36" s="6" t="s">
        <v>109</v>
      </c>
      <c r="AO36" s="6" t="str">
        <f t="shared" si="14"/>
        <v>No Match</v>
      </c>
      <c r="AP36" s="6" t="s">
        <v>109</v>
      </c>
      <c r="AQ36" s="6" t="str">
        <f t="shared" si="15"/>
        <v>No Match</v>
      </c>
      <c r="AR36" s="6" t="s">
        <v>109</v>
      </c>
      <c r="AS36" s="6" t="str">
        <f t="shared" si="16"/>
        <v>No Match</v>
      </c>
      <c r="AT36" s="13" t="s">
        <v>109</v>
      </c>
      <c r="AU36" s="6" t="str">
        <f t="shared" si="17"/>
        <v>No Match</v>
      </c>
      <c r="AV36" s="14" t="s">
        <v>109</v>
      </c>
      <c r="AW36" s="6" t="str">
        <f t="shared" si="18"/>
        <v>No Match</v>
      </c>
    </row>
    <row r="37" spans="1:49" x14ac:dyDescent="0.35">
      <c r="A37" s="1" t="s">
        <v>114</v>
      </c>
      <c r="B37" s="6">
        <v>46</v>
      </c>
      <c r="C37" s="1" t="s">
        <v>102</v>
      </c>
      <c r="D37" s="1" t="s">
        <v>168</v>
      </c>
      <c r="E37" s="10">
        <v>46194</v>
      </c>
      <c r="F37" s="11">
        <v>0.66666666666666663</v>
      </c>
      <c r="G37" s="1" t="s">
        <v>114</v>
      </c>
      <c r="H37" s="1" t="s">
        <v>104</v>
      </c>
      <c r="I37" s="1">
        <v>36</v>
      </c>
      <c r="J37" s="1" t="s">
        <v>115</v>
      </c>
      <c r="K37" s="1" t="s">
        <v>104</v>
      </c>
      <c r="L37" s="6" t="s">
        <v>104</v>
      </c>
      <c r="M37" s="1" t="str">
        <f t="shared" si="0"/>
        <v>Matched</v>
      </c>
      <c r="N37" s="6" t="s">
        <v>104</v>
      </c>
      <c r="O37" s="1" t="str">
        <f t="shared" si="1"/>
        <v>Matched</v>
      </c>
      <c r="P37" s="6" t="s">
        <v>104</v>
      </c>
      <c r="Q37" s="1" t="str">
        <f t="shared" si="2"/>
        <v>Matched</v>
      </c>
      <c r="R37" s="1" t="s">
        <v>104</v>
      </c>
      <c r="S37" s="1" t="str">
        <f t="shared" si="3"/>
        <v>Matched</v>
      </c>
      <c r="T37" s="1" t="s">
        <v>104</v>
      </c>
      <c r="U37" s="6" t="str">
        <f t="shared" si="4"/>
        <v>Matched</v>
      </c>
      <c r="V37" s="6" t="s">
        <v>104</v>
      </c>
      <c r="W37" s="6" t="str">
        <f t="shared" si="5"/>
        <v>Matched</v>
      </c>
      <c r="X37" s="6" t="s">
        <v>104</v>
      </c>
      <c r="Y37" s="6" t="str">
        <f t="shared" si="6"/>
        <v>Matched</v>
      </c>
      <c r="Z37" s="1" t="s">
        <v>114</v>
      </c>
      <c r="AA37" s="6" t="str">
        <f t="shared" si="7"/>
        <v>No Match</v>
      </c>
      <c r="AB37" s="6" t="s">
        <v>104</v>
      </c>
      <c r="AC37" s="6" t="str">
        <f t="shared" si="8"/>
        <v>Matched</v>
      </c>
      <c r="AD37" s="6" t="s">
        <v>104</v>
      </c>
      <c r="AE37" s="6" t="str">
        <f t="shared" si="9"/>
        <v>Matched</v>
      </c>
      <c r="AF37" s="6" t="s">
        <v>104</v>
      </c>
      <c r="AG37" s="6" t="str">
        <f t="shared" si="10"/>
        <v>Matched</v>
      </c>
      <c r="AH37" s="6" t="s">
        <v>104</v>
      </c>
      <c r="AI37" s="6" t="str">
        <f t="shared" si="11"/>
        <v>Matched</v>
      </c>
      <c r="AJ37" s="1" t="s">
        <v>104</v>
      </c>
      <c r="AK37" s="6" t="str">
        <f t="shared" si="12"/>
        <v>Matched</v>
      </c>
      <c r="AL37" s="12" t="s">
        <v>104</v>
      </c>
      <c r="AM37" s="6" t="str">
        <f t="shared" si="13"/>
        <v>Matched</v>
      </c>
      <c r="AN37" s="6" t="s">
        <v>104</v>
      </c>
      <c r="AO37" s="6" t="str">
        <f t="shared" si="14"/>
        <v>Matched</v>
      </c>
      <c r="AP37" s="6" t="s">
        <v>104</v>
      </c>
      <c r="AQ37" s="6" t="str">
        <f t="shared" si="15"/>
        <v>Matched</v>
      </c>
      <c r="AR37" s="6" t="s">
        <v>104</v>
      </c>
      <c r="AS37" s="6" t="str">
        <f t="shared" si="16"/>
        <v>Matched</v>
      </c>
      <c r="AT37" s="13" t="s">
        <v>104</v>
      </c>
      <c r="AU37" s="6" t="str">
        <f t="shared" si="17"/>
        <v>Matched</v>
      </c>
      <c r="AV37" s="14" t="s">
        <v>104</v>
      </c>
      <c r="AW37" s="6" t="str">
        <f t="shared" si="18"/>
        <v>Matched</v>
      </c>
    </row>
    <row r="38" spans="1:49" x14ac:dyDescent="0.35">
      <c r="A38" s="1" t="s">
        <v>154</v>
      </c>
      <c r="B38" s="6">
        <v>50</v>
      </c>
      <c r="C38" s="1" t="s">
        <v>116</v>
      </c>
      <c r="D38" s="1" t="s">
        <v>169</v>
      </c>
      <c r="E38" s="10">
        <v>46195</v>
      </c>
      <c r="F38" s="11">
        <v>0.16666666666666666</v>
      </c>
      <c r="G38" s="1" t="s">
        <v>54</v>
      </c>
      <c r="H38" s="1" t="s">
        <v>126</v>
      </c>
      <c r="I38" s="1">
        <v>38</v>
      </c>
      <c r="J38" s="1" t="s">
        <v>119</v>
      </c>
      <c r="K38" s="1" t="s">
        <v>54</v>
      </c>
      <c r="L38" s="6" t="s">
        <v>54</v>
      </c>
      <c r="M38" s="1" t="str">
        <f t="shared" si="0"/>
        <v>Matched</v>
      </c>
      <c r="N38" s="6" t="s">
        <v>54</v>
      </c>
      <c r="O38" s="1" t="str">
        <f t="shared" si="1"/>
        <v>Matched</v>
      </c>
      <c r="P38" s="6" t="s">
        <v>54</v>
      </c>
      <c r="Q38" s="1" t="str">
        <f t="shared" si="2"/>
        <v>Matched</v>
      </c>
      <c r="R38" s="1" t="s">
        <v>54</v>
      </c>
      <c r="S38" s="1" t="str">
        <f t="shared" si="3"/>
        <v>Matched</v>
      </c>
      <c r="T38" s="1" t="s">
        <v>54</v>
      </c>
      <c r="U38" s="6" t="str">
        <f t="shared" si="4"/>
        <v>Matched</v>
      </c>
      <c r="V38" s="6" t="s">
        <v>54</v>
      </c>
      <c r="W38" s="6" t="str">
        <f t="shared" si="5"/>
        <v>Matched</v>
      </c>
      <c r="X38" s="1" t="s">
        <v>54</v>
      </c>
      <c r="Y38" s="6" t="str">
        <f t="shared" si="6"/>
        <v>Matched</v>
      </c>
      <c r="Z38" s="1" t="s">
        <v>54</v>
      </c>
      <c r="AA38" s="6" t="str">
        <f t="shared" si="7"/>
        <v>Matched</v>
      </c>
      <c r="AB38" s="6" t="s">
        <v>54</v>
      </c>
      <c r="AC38" s="6" t="str">
        <f t="shared" si="8"/>
        <v>Matched</v>
      </c>
      <c r="AD38" s="6" t="s">
        <v>54</v>
      </c>
      <c r="AE38" s="6" t="str">
        <f t="shared" si="9"/>
        <v>Matched</v>
      </c>
      <c r="AF38" s="6" t="s">
        <v>54</v>
      </c>
      <c r="AG38" s="6" t="str">
        <f t="shared" si="10"/>
        <v>Matched</v>
      </c>
      <c r="AH38" s="6" t="s">
        <v>54</v>
      </c>
      <c r="AI38" s="6" t="str">
        <f t="shared" si="11"/>
        <v>Matched</v>
      </c>
      <c r="AJ38" s="1" t="s">
        <v>54</v>
      </c>
      <c r="AK38" s="6" t="str">
        <f t="shared" si="12"/>
        <v>Matched</v>
      </c>
      <c r="AL38" s="12" t="s">
        <v>54</v>
      </c>
      <c r="AM38" s="6" t="str">
        <f t="shared" si="13"/>
        <v>Matched</v>
      </c>
      <c r="AN38" s="6" t="s">
        <v>54</v>
      </c>
      <c r="AO38" s="6" t="str">
        <f t="shared" si="14"/>
        <v>Matched</v>
      </c>
      <c r="AP38" s="6" t="s">
        <v>54</v>
      </c>
      <c r="AQ38" s="6" t="str">
        <f t="shared" si="15"/>
        <v>Matched</v>
      </c>
      <c r="AR38" s="6" t="s">
        <v>54</v>
      </c>
      <c r="AS38" s="6" t="str">
        <f t="shared" si="16"/>
        <v>Matched</v>
      </c>
      <c r="AT38" s="13" t="s">
        <v>54</v>
      </c>
      <c r="AU38" s="6" t="str">
        <f t="shared" si="17"/>
        <v>Matched</v>
      </c>
      <c r="AV38" s="14" t="s">
        <v>54</v>
      </c>
      <c r="AW38" s="6" t="str">
        <f t="shared" si="18"/>
        <v>Matched</v>
      </c>
    </row>
    <row r="39" spans="1:49" x14ac:dyDescent="0.35">
      <c r="A39" s="1" t="s">
        <v>76</v>
      </c>
      <c r="B39" s="6">
        <v>55</v>
      </c>
      <c r="C39" s="1" t="s">
        <v>121</v>
      </c>
      <c r="D39" s="1" t="s">
        <v>170</v>
      </c>
      <c r="E39" s="10">
        <v>46195</v>
      </c>
      <c r="F39" s="11">
        <v>0.29166666666666669</v>
      </c>
      <c r="G39" s="1" t="s">
        <v>96</v>
      </c>
      <c r="H39" s="1" t="s">
        <v>130</v>
      </c>
      <c r="I39" s="1">
        <v>39</v>
      </c>
      <c r="J39" s="1" t="s">
        <v>171</v>
      </c>
      <c r="K39" s="1" t="s">
        <v>59</v>
      </c>
      <c r="L39" s="6" t="s">
        <v>96</v>
      </c>
      <c r="M39" s="1" t="str">
        <f t="shared" si="0"/>
        <v>No Match</v>
      </c>
      <c r="N39" s="6" t="s">
        <v>96</v>
      </c>
      <c r="O39" s="1" t="str">
        <f t="shared" si="1"/>
        <v>No Match</v>
      </c>
      <c r="P39" s="6" t="s">
        <v>96</v>
      </c>
      <c r="Q39" s="1" t="str">
        <f t="shared" si="2"/>
        <v>No Match</v>
      </c>
      <c r="R39" s="1" t="s">
        <v>96</v>
      </c>
      <c r="S39" s="1" t="str">
        <f t="shared" si="3"/>
        <v>No Match</v>
      </c>
      <c r="T39" s="1" t="s">
        <v>130</v>
      </c>
      <c r="U39" s="6" t="str">
        <f t="shared" si="4"/>
        <v>No Match</v>
      </c>
      <c r="V39" s="6" t="s">
        <v>96</v>
      </c>
      <c r="W39" s="6" t="str">
        <f t="shared" si="5"/>
        <v>No Match</v>
      </c>
      <c r="X39" s="1" t="s">
        <v>96</v>
      </c>
      <c r="Y39" s="6" t="str">
        <f t="shared" si="6"/>
        <v>No Match</v>
      </c>
      <c r="Z39" s="1" t="s">
        <v>96</v>
      </c>
      <c r="AA39" s="6" t="str">
        <f t="shared" si="7"/>
        <v>No Match</v>
      </c>
      <c r="AB39" s="6" t="s">
        <v>96</v>
      </c>
      <c r="AC39" s="6" t="str">
        <f t="shared" si="8"/>
        <v>No Match</v>
      </c>
      <c r="AD39" s="6" t="s">
        <v>96</v>
      </c>
      <c r="AE39" s="6" t="str">
        <f t="shared" si="9"/>
        <v>No Match</v>
      </c>
      <c r="AF39" s="6" t="s">
        <v>96</v>
      </c>
      <c r="AG39" s="6" t="str">
        <f t="shared" si="10"/>
        <v>No Match</v>
      </c>
      <c r="AH39" s="6" t="s">
        <v>96</v>
      </c>
      <c r="AI39" s="6" t="str">
        <f t="shared" si="11"/>
        <v>No Match</v>
      </c>
      <c r="AJ39" s="6" t="s">
        <v>59</v>
      </c>
      <c r="AK39" s="6" t="str">
        <f t="shared" si="12"/>
        <v>Matched</v>
      </c>
      <c r="AL39" s="12" t="s">
        <v>96</v>
      </c>
      <c r="AM39" s="6" t="str">
        <f t="shared" si="13"/>
        <v>No Match</v>
      </c>
      <c r="AN39" s="6" t="s">
        <v>96</v>
      </c>
      <c r="AO39" s="6" t="str">
        <f t="shared" si="14"/>
        <v>No Match</v>
      </c>
      <c r="AP39" s="6" t="s">
        <v>96</v>
      </c>
      <c r="AQ39" s="6" t="str">
        <f t="shared" si="15"/>
        <v>No Match</v>
      </c>
      <c r="AR39" s="6" t="s">
        <v>96</v>
      </c>
      <c r="AS39" s="6" t="str">
        <f t="shared" si="16"/>
        <v>No Match</v>
      </c>
      <c r="AT39" s="13" t="s">
        <v>96</v>
      </c>
      <c r="AU39" s="6" t="str">
        <f t="shared" si="17"/>
        <v>No Match</v>
      </c>
      <c r="AV39" s="14" t="s">
        <v>96</v>
      </c>
      <c r="AW39" s="6" t="str">
        <f t="shared" si="18"/>
        <v>No Match</v>
      </c>
    </row>
    <row r="40" spans="1:49" x14ac:dyDescent="0.35">
      <c r="A40" s="1" t="s">
        <v>135</v>
      </c>
      <c r="B40" s="6">
        <v>56</v>
      </c>
      <c r="C40" s="1" t="s">
        <v>116</v>
      </c>
      <c r="D40" s="1" t="s">
        <v>172</v>
      </c>
      <c r="E40" s="10">
        <v>46195</v>
      </c>
      <c r="F40" s="11">
        <v>0.41666666666666669</v>
      </c>
      <c r="G40" s="1" t="s">
        <v>127</v>
      </c>
      <c r="H40" s="1" t="s">
        <v>118</v>
      </c>
      <c r="I40" s="1">
        <v>37</v>
      </c>
      <c r="J40" s="1" t="s">
        <v>128</v>
      </c>
      <c r="K40" s="1" t="s">
        <v>59</v>
      </c>
      <c r="L40" s="6" t="s">
        <v>127</v>
      </c>
      <c r="M40" s="1" t="str">
        <f t="shared" si="0"/>
        <v>No Match</v>
      </c>
      <c r="N40" s="6" t="s">
        <v>127</v>
      </c>
      <c r="O40" s="1" t="str">
        <f t="shared" si="1"/>
        <v>No Match</v>
      </c>
      <c r="P40" s="6" t="s">
        <v>127</v>
      </c>
      <c r="Q40" s="1" t="str">
        <f t="shared" si="2"/>
        <v>No Match</v>
      </c>
      <c r="R40" s="1" t="s">
        <v>127</v>
      </c>
      <c r="S40" s="1" t="str">
        <f t="shared" si="3"/>
        <v>No Match</v>
      </c>
      <c r="T40" s="1" t="s">
        <v>127</v>
      </c>
      <c r="U40" s="6" t="str">
        <f t="shared" si="4"/>
        <v>No Match</v>
      </c>
      <c r="V40" s="6" t="s">
        <v>127</v>
      </c>
      <c r="W40" s="6" t="str">
        <f t="shared" si="5"/>
        <v>No Match</v>
      </c>
      <c r="X40" s="1" t="s">
        <v>127</v>
      </c>
      <c r="Y40" s="6" t="str">
        <f t="shared" si="6"/>
        <v>No Match</v>
      </c>
      <c r="Z40" s="1" t="s">
        <v>127</v>
      </c>
      <c r="AA40" s="6" t="str">
        <f t="shared" si="7"/>
        <v>No Match</v>
      </c>
      <c r="AB40" s="6" t="s">
        <v>127</v>
      </c>
      <c r="AC40" s="6" t="str">
        <f t="shared" si="8"/>
        <v>No Match</v>
      </c>
      <c r="AD40" s="6" t="s">
        <v>127</v>
      </c>
      <c r="AE40" s="6" t="str">
        <f t="shared" si="9"/>
        <v>No Match</v>
      </c>
      <c r="AF40" s="6" t="s">
        <v>127</v>
      </c>
      <c r="AG40" s="6" t="str">
        <f t="shared" si="10"/>
        <v>No Match</v>
      </c>
      <c r="AH40" s="6" t="s">
        <v>127</v>
      </c>
      <c r="AI40" s="6" t="str">
        <f t="shared" si="11"/>
        <v>No Match</v>
      </c>
      <c r="AJ40" s="6" t="s">
        <v>127</v>
      </c>
      <c r="AK40" s="6" t="str">
        <f t="shared" si="12"/>
        <v>No Match</v>
      </c>
      <c r="AL40" s="12" t="s">
        <v>127</v>
      </c>
      <c r="AM40" s="6" t="str">
        <f t="shared" si="13"/>
        <v>No Match</v>
      </c>
      <c r="AN40" s="6" t="s">
        <v>127</v>
      </c>
      <c r="AO40" s="6" t="str">
        <f t="shared" si="14"/>
        <v>No Match</v>
      </c>
      <c r="AP40" s="6" t="s">
        <v>127</v>
      </c>
      <c r="AQ40" s="6" t="str">
        <f t="shared" si="15"/>
        <v>No Match</v>
      </c>
      <c r="AR40" s="6" t="s">
        <v>127</v>
      </c>
      <c r="AS40" s="6" t="str">
        <f t="shared" si="16"/>
        <v>No Match</v>
      </c>
      <c r="AT40" s="13" t="s">
        <v>127</v>
      </c>
      <c r="AU40" s="6" t="str">
        <f t="shared" si="17"/>
        <v>No Match</v>
      </c>
      <c r="AV40" s="14" t="s">
        <v>127</v>
      </c>
      <c r="AW40" s="6" t="str">
        <f t="shared" si="18"/>
        <v>No Match</v>
      </c>
    </row>
    <row r="41" spans="1:49" x14ac:dyDescent="0.35">
      <c r="A41" s="1" t="s">
        <v>126</v>
      </c>
      <c r="B41" s="6">
        <v>60</v>
      </c>
      <c r="C41" s="1" t="s">
        <v>121</v>
      </c>
      <c r="D41" s="1" t="s">
        <v>173</v>
      </c>
      <c r="E41" s="10">
        <v>46195</v>
      </c>
      <c r="F41" s="11">
        <v>0.54166666666666663</v>
      </c>
      <c r="G41" s="1" t="s">
        <v>131</v>
      </c>
      <c r="H41" s="1" t="s">
        <v>123</v>
      </c>
      <c r="I41" s="1">
        <v>40</v>
      </c>
      <c r="J41" s="1" t="s">
        <v>94</v>
      </c>
      <c r="K41" s="1" t="s">
        <v>123</v>
      </c>
      <c r="L41" s="6" t="s">
        <v>131</v>
      </c>
      <c r="M41" s="1" t="str">
        <f t="shared" si="0"/>
        <v>No Match</v>
      </c>
      <c r="N41" s="1" t="s">
        <v>123</v>
      </c>
      <c r="O41" s="1" t="str">
        <f t="shared" si="1"/>
        <v>Matched</v>
      </c>
      <c r="P41" s="6" t="s">
        <v>131</v>
      </c>
      <c r="Q41" s="1" t="str">
        <f t="shared" si="2"/>
        <v>No Match</v>
      </c>
      <c r="R41" s="1" t="s">
        <v>131</v>
      </c>
      <c r="S41" s="1" t="str">
        <f t="shared" si="3"/>
        <v>No Match</v>
      </c>
      <c r="T41" s="1" t="s">
        <v>123</v>
      </c>
      <c r="U41" s="6" t="str">
        <f t="shared" si="4"/>
        <v>Matched</v>
      </c>
      <c r="V41" s="6" t="s">
        <v>123</v>
      </c>
      <c r="W41" s="6" t="str">
        <f t="shared" si="5"/>
        <v>Matched</v>
      </c>
      <c r="X41" s="1" t="s">
        <v>123</v>
      </c>
      <c r="Y41" s="6" t="str">
        <f t="shared" si="6"/>
        <v>Matched</v>
      </c>
      <c r="Z41" s="1" t="s">
        <v>123</v>
      </c>
      <c r="AA41" s="6" t="str">
        <f t="shared" si="7"/>
        <v>Matched</v>
      </c>
      <c r="AB41" s="6" t="s">
        <v>131</v>
      </c>
      <c r="AC41" s="6" t="str">
        <f t="shared" si="8"/>
        <v>No Match</v>
      </c>
      <c r="AD41" s="6" t="s">
        <v>123</v>
      </c>
      <c r="AE41" s="6" t="str">
        <f t="shared" si="9"/>
        <v>Matched</v>
      </c>
      <c r="AF41" s="1" t="s">
        <v>123</v>
      </c>
      <c r="AG41" s="6" t="str">
        <f t="shared" si="10"/>
        <v>Matched</v>
      </c>
      <c r="AH41" s="6" t="s">
        <v>131</v>
      </c>
      <c r="AI41" s="6" t="str">
        <f t="shared" si="11"/>
        <v>No Match</v>
      </c>
      <c r="AJ41" s="1" t="s">
        <v>123</v>
      </c>
      <c r="AK41" s="6" t="str">
        <f t="shared" si="12"/>
        <v>Matched</v>
      </c>
      <c r="AL41" s="12" t="s">
        <v>123</v>
      </c>
      <c r="AM41" s="6" t="str">
        <f t="shared" si="13"/>
        <v>Matched</v>
      </c>
      <c r="AN41" s="6" t="s">
        <v>123</v>
      </c>
      <c r="AO41" s="6" t="str">
        <f t="shared" si="14"/>
        <v>Matched</v>
      </c>
      <c r="AP41" s="6" t="s">
        <v>131</v>
      </c>
      <c r="AQ41" s="6" t="str">
        <f t="shared" si="15"/>
        <v>No Match</v>
      </c>
      <c r="AR41" s="6" t="s">
        <v>123</v>
      </c>
      <c r="AS41" s="6" t="str">
        <f t="shared" si="16"/>
        <v>Matched</v>
      </c>
      <c r="AT41" s="13" t="s">
        <v>123</v>
      </c>
      <c r="AU41" s="6" t="str">
        <f t="shared" si="17"/>
        <v>Matched</v>
      </c>
      <c r="AV41" s="14" t="s">
        <v>131</v>
      </c>
      <c r="AW41" s="6" t="str">
        <f t="shared" si="18"/>
        <v>No Match</v>
      </c>
    </row>
    <row r="42" spans="1:49" x14ac:dyDescent="0.35">
      <c r="A42" s="1" t="s">
        <v>52</v>
      </c>
      <c r="B42" s="6">
        <v>60</v>
      </c>
      <c r="C42" s="1" t="s">
        <v>137</v>
      </c>
      <c r="D42" s="1" t="s">
        <v>174</v>
      </c>
      <c r="E42" s="10">
        <v>46196</v>
      </c>
      <c r="F42" s="11">
        <v>0.20833333333333334</v>
      </c>
      <c r="G42" s="1" t="s">
        <v>48</v>
      </c>
      <c r="H42" s="1" t="s">
        <v>142</v>
      </c>
      <c r="I42" s="1">
        <v>43</v>
      </c>
      <c r="J42" s="1" t="s">
        <v>105</v>
      </c>
      <c r="K42" s="1" t="s">
        <v>48</v>
      </c>
      <c r="L42" s="6" t="s">
        <v>48</v>
      </c>
      <c r="M42" s="1" t="str">
        <f t="shared" si="0"/>
        <v>Matched</v>
      </c>
      <c r="N42" s="1" t="s">
        <v>48</v>
      </c>
      <c r="O42" s="1" t="str">
        <f t="shared" si="1"/>
        <v>Matched</v>
      </c>
      <c r="P42" s="6" t="s">
        <v>48</v>
      </c>
      <c r="Q42" s="1" t="str">
        <f t="shared" si="2"/>
        <v>Matched</v>
      </c>
      <c r="R42" s="1" t="s">
        <v>48</v>
      </c>
      <c r="S42" s="1" t="str">
        <f t="shared" si="3"/>
        <v>Matched</v>
      </c>
      <c r="T42" s="1" t="s">
        <v>48</v>
      </c>
      <c r="U42" s="6" t="str">
        <f t="shared" si="4"/>
        <v>Matched</v>
      </c>
      <c r="V42" s="6" t="s">
        <v>48</v>
      </c>
      <c r="W42" s="6" t="str">
        <f t="shared" si="5"/>
        <v>Matched</v>
      </c>
      <c r="X42" s="1" t="s">
        <v>48</v>
      </c>
      <c r="Y42" s="6" t="str">
        <f t="shared" si="6"/>
        <v>Matched</v>
      </c>
      <c r="Z42" s="1" t="s">
        <v>48</v>
      </c>
      <c r="AA42" s="6" t="str">
        <f t="shared" si="7"/>
        <v>Matched</v>
      </c>
      <c r="AB42" s="6" t="s">
        <v>48</v>
      </c>
      <c r="AC42" s="6" t="str">
        <f t="shared" si="8"/>
        <v>Matched</v>
      </c>
      <c r="AD42" s="6" t="s">
        <v>48</v>
      </c>
      <c r="AE42" s="6" t="str">
        <f t="shared" si="9"/>
        <v>Matched</v>
      </c>
      <c r="AF42" s="1" t="s">
        <v>48</v>
      </c>
      <c r="AG42" s="6" t="str">
        <f t="shared" si="10"/>
        <v>Matched</v>
      </c>
      <c r="AH42" s="6" t="s">
        <v>48</v>
      </c>
      <c r="AI42" s="6" t="str">
        <f t="shared" si="11"/>
        <v>Matched</v>
      </c>
      <c r="AJ42" s="6" t="s">
        <v>48</v>
      </c>
      <c r="AK42" s="6" t="str">
        <f t="shared" si="12"/>
        <v>Matched</v>
      </c>
      <c r="AL42" s="12" t="s">
        <v>48</v>
      </c>
      <c r="AM42" s="6" t="str">
        <f t="shared" si="13"/>
        <v>Matched</v>
      </c>
      <c r="AN42" s="6" t="s">
        <v>48</v>
      </c>
      <c r="AO42" s="6" t="str">
        <f t="shared" si="14"/>
        <v>Matched</v>
      </c>
      <c r="AP42" s="6" t="s">
        <v>48</v>
      </c>
      <c r="AQ42" s="6" t="str">
        <f t="shared" si="15"/>
        <v>Matched</v>
      </c>
      <c r="AR42" s="6" t="s">
        <v>48</v>
      </c>
      <c r="AS42" s="6" t="str">
        <f t="shared" si="16"/>
        <v>Matched</v>
      </c>
      <c r="AT42" s="13" t="s">
        <v>48</v>
      </c>
      <c r="AU42" s="6" t="str">
        <f t="shared" si="17"/>
        <v>Matched</v>
      </c>
      <c r="AV42" s="14" t="s">
        <v>48</v>
      </c>
      <c r="AW42" s="6" t="str">
        <f t="shared" si="18"/>
        <v>Matched</v>
      </c>
    </row>
    <row r="43" spans="1:49" x14ac:dyDescent="0.35">
      <c r="A43" s="1" t="s">
        <v>143</v>
      </c>
      <c r="B43" s="6">
        <v>63</v>
      </c>
      <c r="C43" s="1" t="s">
        <v>132</v>
      </c>
      <c r="D43" s="1" t="s">
        <v>175</v>
      </c>
      <c r="E43" s="10">
        <v>46196</v>
      </c>
      <c r="F43" s="11">
        <v>0.375</v>
      </c>
      <c r="G43" s="1" t="s">
        <v>60</v>
      </c>
      <c r="H43" s="1" t="s">
        <v>135</v>
      </c>
      <c r="I43" s="1">
        <v>42</v>
      </c>
      <c r="J43" s="1" t="s">
        <v>110</v>
      </c>
      <c r="K43" s="1" t="s">
        <v>60</v>
      </c>
      <c r="L43" s="6" t="s">
        <v>60</v>
      </c>
      <c r="M43" s="1" t="str">
        <f t="shared" si="0"/>
        <v>Matched</v>
      </c>
      <c r="N43" s="1" t="s">
        <v>60</v>
      </c>
      <c r="O43" s="1" t="str">
        <f t="shared" si="1"/>
        <v>Matched</v>
      </c>
      <c r="P43" s="6" t="s">
        <v>60</v>
      </c>
      <c r="Q43" s="1" t="str">
        <f t="shared" si="2"/>
        <v>Matched</v>
      </c>
      <c r="R43" s="1" t="s">
        <v>60</v>
      </c>
      <c r="S43" s="1" t="str">
        <f t="shared" si="3"/>
        <v>Matched</v>
      </c>
      <c r="T43" s="1" t="s">
        <v>60</v>
      </c>
      <c r="U43" s="6" t="str">
        <f t="shared" si="4"/>
        <v>Matched</v>
      </c>
      <c r="V43" s="6" t="s">
        <v>60</v>
      </c>
      <c r="W43" s="6" t="str">
        <f t="shared" si="5"/>
        <v>Matched</v>
      </c>
      <c r="X43" s="1" t="s">
        <v>60</v>
      </c>
      <c r="Y43" s="6" t="str">
        <f t="shared" si="6"/>
        <v>Matched</v>
      </c>
      <c r="Z43" s="1" t="s">
        <v>60</v>
      </c>
      <c r="AA43" s="6" t="str">
        <f t="shared" si="7"/>
        <v>Matched</v>
      </c>
      <c r="AB43" s="6" t="s">
        <v>60</v>
      </c>
      <c r="AC43" s="6" t="str">
        <f t="shared" si="8"/>
        <v>Matched</v>
      </c>
      <c r="AD43" s="6" t="s">
        <v>60</v>
      </c>
      <c r="AE43" s="6" t="str">
        <f t="shared" si="9"/>
        <v>Matched</v>
      </c>
      <c r="AF43" s="1" t="s">
        <v>60</v>
      </c>
      <c r="AG43" s="6" t="str">
        <f t="shared" si="10"/>
        <v>Matched</v>
      </c>
      <c r="AH43" s="6" t="s">
        <v>60</v>
      </c>
      <c r="AI43" s="6" t="str">
        <f t="shared" si="11"/>
        <v>Matched</v>
      </c>
      <c r="AJ43" s="1" t="s">
        <v>60</v>
      </c>
      <c r="AK43" s="6" t="str">
        <f t="shared" si="12"/>
        <v>Matched</v>
      </c>
      <c r="AL43" s="12" t="s">
        <v>60</v>
      </c>
      <c r="AM43" s="6" t="str">
        <f t="shared" si="13"/>
        <v>Matched</v>
      </c>
      <c r="AN43" s="6" t="s">
        <v>60</v>
      </c>
      <c r="AO43" s="6" t="str">
        <f t="shared" si="14"/>
        <v>Matched</v>
      </c>
      <c r="AP43" s="6" t="s">
        <v>60</v>
      </c>
      <c r="AQ43" s="6" t="str">
        <f t="shared" si="15"/>
        <v>Matched</v>
      </c>
      <c r="AR43" s="6" t="s">
        <v>60</v>
      </c>
      <c r="AS43" s="6" t="str">
        <f t="shared" si="16"/>
        <v>Matched</v>
      </c>
      <c r="AT43" s="13" t="s">
        <v>60</v>
      </c>
      <c r="AU43" s="6" t="str">
        <f t="shared" si="17"/>
        <v>Matched</v>
      </c>
      <c r="AV43" s="14" t="s">
        <v>60</v>
      </c>
      <c r="AW43" s="6" t="str">
        <f t="shared" si="18"/>
        <v>Matched</v>
      </c>
    </row>
    <row r="44" spans="1:49" x14ac:dyDescent="0.35">
      <c r="A44" s="1" t="s">
        <v>65</v>
      </c>
      <c r="B44" s="6">
        <v>64</v>
      </c>
      <c r="C44" s="1" t="s">
        <v>132</v>
      </c>
      <c r="D44" s="1" t="s">
        <v>176</v>
      </c>
      <c r="E44" s="10">
        <v>46196</v>
      </c>
      <c r="F44" s="11">
        <v>0.5</v>
      </c>
      <c r="G44" s="1" t="s">
        <v>136</v>
      </c>
      <c r="H44" s="1" t="s">
        <v>120</v>
      </c>
      <c r="I44" s="1">
        <v>41</v>
      </c>
      <c r="J44" s="1" t="s">
        <v>84</v>
      </c>
      <c r="K44" s="1" t="s">
        <v>136</v>
      </c>
      <c r="L44" s="6" t="s">
        <v>136</v>
      </c>
      <c r="M44" s="1" t="str">
        <f t="shared" si="0"/>
        <v>Matched</v>
      </c>
      <c r="N44" s="1" t="s">
        <v>136</v>
      </c>
      <c r="O44" s="1" t="str">
        <f t="shared" si="1"/>
        <v>Matched</v>
      </c>
      <c r="P44" s="6" t="s">
        <v>136</v>
      </c>
      <c r="Q44" s="1" t="str">
        <f t="shared" si="2"/>
        <v>Matched</v>
      </c>
      <c r="R44" s="1" t="s">
        <v>136</v>
      </c>
      <c r="S44" s="1" t="str">
        <f t="shared" si="3"/>
        <v>Matched</v>
      </c>
      <c r="T44" s="1" t="s">
        <v>120</v>
      </c>
      <c r="U44" s="6" t="str">
        <f t="shared" si="4"/>
        <v>No Match</v>
      </c>
      <c r="V44" s="1" t="s">
        <v>136</v>
      </c>
      <c r="W44" s="6" t="str">
        <f t="shared" si="5"/>
        <v>Matched</v>
      </c>
      <c r="X44" s="6" t="s">
        <v>59</v>
      </c>
      <c r="Y44" s="6" t="str">
        <f t="shared" si="6"/>
        <v>No Match</v>
      </c>
      <c r="Z44" s="1" t="s">
        <v>120</v>
      </c>
      <c r="AA44" s="6" t="str">
        <f t="shared" si="7"/>
        <v>No Match</v>
      </c>
      <c r="AB44" s="6" t="s">
        <v>120</v>
      </c>
      <c r="AC44" s="6" t="str">
        <f t="shared" si="8"/>
        <v>No Match</v>
      </c>
      <c r="AD44" s="6" t="s">
        <v>120</v>
      </c>
      <c r="AE44" s="6" t="str">
        <f t="shared" si="9"/>
        <v>No Match</v>
      </c>
      <c r="AF44" s="1" t="s">
        <v>136</v>
      </c>
      <c r="AG44" s="6" t="str">
        <f t="shared" si="10"/>
        <v>Matched</v>
      </c>
      <c r="AH44" s="6" t="s">
        <v>120</v>
      </c>
      <c r="AI44" s="6" t="str">
        <f t="shared" si="11"/>
        <v>No Match</v>
      </c>
      <c r="AJ44" s="6" t="s">
        <v>120</v>
      </c>
      <c r="AK44" s="6" t="str">
        <f t="shared" si="12"/>
        <v>No Match</v>
      </c>
      <c r="AL44" s="12" t="s">
        <v>136</v>
      </c>
      <c r="AM44" s="6" t="str">
        <f t="shared" si="13"/>
        <v>Matched</v>
      </c>
      <c r="AN44" s="6" t="s">
        <v>136</v>
      </c>
      <c r="AO44" s="6" t="str">
        <f t="shared" si="14"/>
        <v>Matched</v>
      </c>
      <c r="AP44" s="6" t="s">
        <v>136</v>
      </c>
      <c r="AQ44" s="6" t="str">
        <f t="shared" si="15"/>
        <v>Matched</v>
      </c>
      <c r="AR44" s="6" t="s">
        <v>136</v>
      </c>
      <c r="AS44" s="6" t="str">
        <f t="shared" si="16"/>
        <v>Matched</v>
      </c>
      <c r="AT44" s="13" t="s">
        <v>120</v>
      </c>
      <c r="AU44" s="6" t="str">
        <f t="shared" si="17"/>
        <v>No Match</v>
      </c>
      <c r="AV44" s="14" t="s">
        <v>120</v>
      </c>
      <c r="AW44" s="6" t="str">
        <f t="shared" si="18"/>
        <v>No Match</v>
      </c>
    </row>
    <row r="45" spans="1:49" x14ac:dyDescent="0.35">
      <c r="A45" s="1" t="s">
        <v>118</v>
      </c>
      <c r="B45" s="6">
        <v>68</v>
      </c>
      <c r="C45" s="1" t="s">
        <v>137</v>
      </c>
      <c r="D45" s="1" t="s">
        <v>177</v>
      </c>
      <c r="E45" s="10">
        <v>46196</v>
      </c>
      <c r="F45" s="11">
        <v>0.625</v>
      </c>
      <c r="G45" s="1" t="s">
        <v>143</v>
      </c>
      <c r="H45" s="1" t="s">
        <v>139</v>
      </c>
      <c r="I45" s="1">
        <v>44</v>
      </c>
      <c r="J45" s="1" t="s">
        <v>78</v>
      </c>
      <c r="K45" s="1" t="s">
        <v>139</v>
      </c>
      <c r="L45" s="6" t="s">
        <v>139</v>
      </c>
      <c r="M45" s="1" t="str">
        <f t="shared" si="0"/>
        <v>Matched</v>
      </c>
      <c r="N45" s="1" t="s">
        <v>139</v>
      </c>
      <c r="O45" s="1" t="str">
        <f t="shared" si="1"/>
        <v>Matched</v>
      </c>
      <c r="P45" s="6" t="s">
        <v>139</v>
      </c>
      <c r="Q45" s="1" t="str">
        <f t="shared" si="2"/>
        <v>Matched</v>
      </c>
      <c r="R45" s="6" t="s">
        <v>59</v>
      </c>
      <c r="S45" s="1" t="str">
        <f t="shared" si="3"/>
        <v>No Match</v>
      </c>
      <c r="T45" s="1" t="s">
        <v>139</v>
      </c>
      <c r="U45" s="6" t="str">
        <f t="shared" si="4"/>
        <v>Matched</v>
      </c>
      <c r="V45" s="6" t="s">
        <v>139</v>
      </c>
      <c r="W45" s="6" t="str">
        <f t="shared" si="5"/>
        <v>Matched</v>
      </c>
      <c r="X45" s="1" t="s">
        <v>139</v>
      </c>
      <c r="Y45" s="6" t="str">
        <f t="shared" si="6"/>
        <v>Matched</v>
      </c>
      <c r="Z45" s="1" t="s">
        <v>139</v>
      </c>
      <c r="AA45" s="6" t="str">
        <f t="shared" si="7"/>
        <v>Matched</v>
      </c>
      <c r="AB45" s="6" t="s">
        <v>139</v>
      </c>
      <c r="AC45" s="6" t="str">
        <f t="shared" si="8"/>
        <v>Matched</v>
      </c>
      <c r="AD45" s="6" t="s">
        <v>139</v>
      </c>
      <c r="AE45" s="6" t="str">
        <f t="shared" si="9"/>
        <v>Matched</v>
      </c>
      <c r="AF45" s="1" t="s">
        <v>139</v>
      </c>
      <c r="AG45" s="6" t="str">
        <f t="shared" si="10"/>
        <v>Matched</v>
      </c>
      <c r="AH45" s="6" t="s">
        <v>139</v>
      </c>
      <c r="AI45" s="6" t="str">
        <f t="shared" si="11"/>
        <v>Matched</v>
      </c>
      <c r="AJ45" s="12" t="s">
        <v>139</v>
      </c>
      <c r="AK45" s="6" t="str">
        <f t="shared" si="12"/>
        <v>Matched</v>
      </c>
      <c r="AL45" s="12" t="s">
        <v>139</v>
      </c>
      <c r="AM45" s="6" t="str">
        <f t="shared" si="13"/>
        <v>Matched</v>
      </c>
      <c r="AN45" s="6" t="s">
        <v>139</v>
      </c>
      <c r="AO45" s="6" t="str">
        <f t="shared" si="14"/>
        <v>Matched</v>
      </c>
      <c r="AP45" s="6" t="s">
        <v>139</v>
      </c>
      <c r="AQ45" s="6" t="str">
        <f t="shared" si="15"/>
        <v>Matched</v>
      </c>
      <c r="AR45" s="6" t="s">
        <v>139</v>
      </c>
      <c r="AS45" s="6" t="str">
        <f t="shared" si="16"/>
        <v>Matched</v>
      </c>
      <c r="AT45" s="13" t="s">
        <v>139</v>
      </c>
      <c r="AU45" s="6" t="str">
        <f t="shared" si="17"/>
        <v>Matched</v>
      </c>
      <c r="AV45" s="14" t="s">
        <v>139</v>
      </c>
      <c r="AW45" s="6" t="str">
        <f t="shared" si="18"/>
        <v>Matched</v>
      </c>
    </row>
    <row r="46" spans="1:49" x14ac:dyDescent="0.35">
      <c r="A46" s="1" t="s">
        <v>151</v>
      </c>
      <c r="B46" s="6">
        <v>73</v>
      </c>
      <c r="C46" s="1" t="s">
        <v>144</v>
      </c>
      <c r="D46" s="1" t="s">
        <v>178</v>
      </c>
      <c r="E46" s="10">
        <v>46197</v>
      </c>
      <c r="F46" s="11">
        <v>0.20833333333333334</v>
      </c>
      <c r="G46" s="1" t="s">
        <v>74</v>
      </c>
      <c r="H46" s="1" t="s">
        <v>154</v>
      </c>
      <c r="I46" s="1">
        <v>47</v>
      </c>
      <c r="J46" s="1" t="s">
        <v>101</v>
      </c>
      <c r="K46" s="1" t="s">
        <v>74</v>
      </c>
      <c r="L46" s="6" t="s">
        <v>74</v>
      </c>
      <c r="M46" s="1" t="str">
        <f t="shared" si="0"/>
        <v>Matched</v>
      </c>
      <c r="N46" s="1" t="s">
        <v>74</v>
      </c>
      <c r="O46" s="1" t="str">
        <f t="shared" si="1"/>
        <v>Matched</v>
      </c>
      <c r="P46" s="6" t="s">
        <v>74</v>
      </c>
      <c r="Q46" s="1" t="str">
        <f t="shared" si="2"/>
        <v>Matched</v>
      </c>
      <c r="R46" s="1" t="s">
        <v>74</v>
      </c>
      <c r="S46" s="1" t="str">
        <f t="shared" si="3"/>
        <v>Matched</v>
      </c>
      <c r="T46" s="1" t="s">
        <v>74</v>
      </c>
      <c r="U46" s="6" t="str">
        <f t="shared" si="4"/>
        <v>Matched</v>
      </c>
      <c r="V46" s="6" t="s">
        <v>74</v>
      </c>
      <c r="W46" s="6" t="str">
        <f t="shared" si="5"/>
        <v>Matched</v>
      </c>
      <c r="X46" s="1" t="s">
        <v>74</v>
      </c>
      <c r="Y46" s="6" t="str">
        <f t="shared" si="6"/>
        <v>Matched</v>
      </c>
      <c r="Z46" s="1" t="s">
        <v>74</v>
      </c>
      <c r="AA46" s="6" t="str">
        <f t="shared" si="7"/>
        <v>Matched</v>
      </c>
      <c r="AB46" s="6" t="s">
        <v>74</v>
      </c>
      <c r="AC46" s="6" t="str">
        <f t="shared" si="8"/>
        <v>Matched</v>
      </c>
      <c r="AD46" s="6" t="s">
        <v>74</v>
      </c>
      <c r="AE46" s="6" t="str">
        <f t="shared" si="9"/>
        <v>Matched</v>
      </c>
      <c r="AF46" s="1" t="s">
        <v>74</v>
      </c>
      <c r="AG46" s="6" t="str">
        <f t="shared" si="10"/>
        <v>Matched</v>
      </c>
      <c r="AH46" s="6" t="s">
        <v>74</v>
      </c>
      <c r="AI46" s="6" t="str">
        <f t="shared" si="11"/>
        <v>Matched</v>
      </c>
      <c r="AJ46" s="12" t="s">
        <v>74</v>
      </c>
      <c r="AK46" s="6" t="str">
        <f t="shared" si="12"/>
        <v>Matched</v>
      </c>
      <c r="AL46" s="12" t="s">
        <v>74</v>
      </c>
      <c r="AM46" s="6" t="str">
        <f t="shared" si="13"/>
        <v>Matched</v>
      </c>
      <c r="AN46" s="6" t="s">
        <v>74</v>
      </c>
      <c r="AO46" s="6" t="str">
        <f t="shared" si="14"/>
        <v>Matched</v>
      </c>
      <c r="AP46" s="6" t="s">
        <v>74</v>
      </c>
      <c r="AQ46" s="6" t="str">
        <f t="shared" si="15"/>
        <v>Matched</v>
      </c>
      <c r="AR46" s="6" t="s">
        <v>74</v>
      </c>
      <c r="AS46" s="6" t="str">
        <f t="shared" si="16"/>
        <v>Matched</v>
      </c>
      <c r="AT46" s="13" t="s">
        <v>74</v>
      </c>
      <c r="AU46" s="6" t="str">
        <f t="shared" si="17"/>
        <v>Matched</v>
      </c>
      <c r="AV46" s="14" t="s">
        <v>74</v>
      </c>
      <c r="AW46" s="6" t="str">
        <f t="shared" si="18"/>
        <v>Matched</v>
      </c>
    </row>
    <row r="47" spans="1:49" x14ac:dyDescent="0.35">
      <c r="A47" s="1" t="s">
        <v>86</v>
      </c>
      <c r="B47" s="6">
        <v>81</v>
      </c>
      <c r="C47" s="1" t="s">
        <v>148</v>
      </c>
      <c r="D47" s="1" t="s">
        <v>179</v>
      </c>
      <c r="E47" s="10">
        <v>46197</v>
      </c>
      <c r="F47" s="11">
        <v>0.33333333333333331</v>
      </c>
      <c r="G47" s="1" t="s">
        <v>67</v>
      </c>
      <c r="H47" s="1" t="s">
        <v>151</v>
      </c>
      <c r="I47" s="1">
        <v>45</v>
      </c>
      <c r="J47" s="1" t="s">
        <v>88</v>
      </c>
      <c r="K47" s="1" t="s">
        <v>59</v>
      </c>
      <c r="L47" s="6" t="s">
        <v>67</v>
      </c>
      <c r="M47" s="1" t="str">
        <f t="shared" si="0"/>
        <v>No Match</v>
      </c>
      <c r="N47" s="1" t="s">
        <v>67</v>
      </c>
      <c r="O47" s="1" t="str">
        <f t="shared" si="1"/>
        <v>No Match</v>
      </c>
      <c r="P47" s="6" t="s">
        <v>67</v>
      </c>
      <c r="Q47" s="1" t="str">
        <f t="shared" si="2"/>
        <v>No Match</v>
      </c>
      <c r="R47" s="1" t="s">
        <v>67</v>
      </c>
      <c r="S47" s="1" t="str">
        <f t="shared" si="3"/>
        <v>No Match</v>
      </c>
      <c r="T47" s="1" t="s">
        <v>151</v>
      </c>
      <c r="U47" s="6" t="str">
        <f t="shared" si="4"/>
        <v>No Match</v>
      </c>
      <c r="V47" s="6" t="s">
        <v>67</v>
      </c>
      <c r="W47" s="6" t="str">
        <f t="shared" si="5"/>
        <v>No Match</v>
      </c>
      <c r="X47" s="1" t="s">
        <v>67</v>
      </c>
      <c r="Y47" s="6" t="str">
        <f t="shared" si="6"/>
        <v>No Match</v>
      </c>
      <c r="Z47" s="1" t="s">
        <v>67</v>
      </c>
      <c r="AA47" s="6" t="str">
        <f t="shared" si="7"/>
        <v>No Match</v>
      </c>
      <c r="AB47" s="6" t="s">
        <v>67</v>
      </c>
      <c r="AC47" s="6" t="str">
        <f t="shared" si="8"/>
        <v>No Match</v>
      </c>
      <c r="AD47" s="6" t="s">
        <v>67</v>
      </c>
      <c r="AE47" s="6" t="str">
        <f t="shared" si="9"/>
        <v>No Match</v>
      </c>
      <c r="AF47" s="1" t="s">
        <v>67</v>
      </c>
      <c r="AG47" s="6" t="str">
        <f t="shared" si="10"/>
        <v>No Match</v>
      </c>
      <c r="AH47" s="6" t="s">
        <v>67</v>
      </c>
      <c r="AI47" s="6" t="str">
        <f t="shared" si="11"/>
        <v>No Match</v>
      </c>
      <c r="AJ47" s="12" t="s">
        <v>67</v>
      </c>
      <c r="AK47" s="6" t="str">
        <f t="shared" si="12"/>
        <v>No Match</v>
      </c>
      <c r="AL47" s="12" t="s">
        <v>67</v>
      </c>
      <c r="AM47" s="6" t="str">
        <f t="shared" si="13"/>
        <v>No Match</v>
      </c>
      <c r="AN47" s="6" t="s">
        <v>67</v>
      </c>
      <c r="AO47" s="6" t="str">
        <f t="shared" si="14"/>
        <v>No Match</v>
      </c>
      <c r="AP47" s="6" t="s">
        <v>67</v>
      </c>
      <c r="AQ47" s="6" t="str">
        <f t="shared" si="15"/>
        <v>No Match</v>
      </c>
      <c r="AR47" s="6" t="s">
        <v>67</v>
      </c>
      <c r="AS47" s="6" t="str">
        <f t="shared" si="16"/>
        <v>No Match</v>
      </c>
      <c r="AT47" s="13" t="s">
        <v>67</v>
      </c>
      <c r="AU47" s="6" t="str">
        <f t="shared" si="17"/>
        <v>No Match</v>
      </c>
      <c r="AV47" s="14" t="s">
        <v>67</v>
      </c>
      <c r="AW47" s="6" t="str">
        <f t="shared" si="18"/>
        <v>No Match</v>
      </c>
    </row>
    <row r="48" spans="1:49" x14ac:dyDescent="0.35">
      <c r="A48" s="1" t="s">
        <v>100</v>
      </c>
      <c r="B48" s="6">
        <v>83</v>
      </c>
      <c r="C48" s="1" t="s">
        <v>148</v>
      </c>
      <c r="D48" s="1" t="s">
        <v>180</v>
      </c>
      <c r="E48" s="10">
        <v>46197</v>
      </c>
      <c r="F48" s="11">
        <v>0.45833333333333331</v>
      </c>
      <c r="G48" s="1" t="s">
        <v>152</v>
      </c>
      <c r="H48" s="1" t="s">
        <v>106</v>
      </c>
      <c r="I48" s="1">
        <v>46</v>
      </c>
      <c r="J48" s="1" t="s">
        <v>66</v>
      </c>
      <c r="K48" s="1" t="s">
        <v>106</v>
      </c>
      <c r="L48" s="6" t="s">
        <v>106</v>
      </c>
      <c r="M48" s="1" t="str">
        <f t="shared" si="0"/>
        <v>Matched</v>
      </c>
      <c r="N48" s="6" t="s">
        <v>106</v>
      </c>
      <c r="O48" s="1" t="str">
        <f t="shared" si="1"/>
        <v>Matched</v>
      </c>
      <c r="P48" s="6" t="s">
        <v>106</v>
      </c>
      <c r="Q48" s="1" t="str">
        <f t="shared" si="2"/>
        <v>Matched</v>
      </c>
      <c r="R48" s="1" t="s">
        <v>106</v>
      </c>
      <c r="S48" s="1" t="str">
        <f t="shared" si="3"/>
        <v>Matched</v>
      </c>
      <c r="T48" s="1" t="s">
        <v>106</v>
      </c>
      <c r="U48" s="6" t="str">
        <f t="shared" si="4"/>
        <v>Matched</v>
      </c>
      <c r="V48" s="6" t="s">
        <v>106</v>
      </c>
      <c r="W48" s="6" t="str">
        <f t="shared" si="5"/>
        <v>Matched</v>
      </c>
      <c r="X48" s="1" t="s">
        <v>106</v>
      </c>
      <c r="Y48" s="6" t="str">
        <f t="shared" si="6"/>
        <v>Matched</v>
      </c>
      <c r="Z48" s="1" t="s">
        <v>106</v>
      </c>
      <c r="AA48" s="6" t="str">
        <f t="shared" si="7"/>
        <v>Matched</v>
      </c>
      <c r="AB48" s="6" t="s">
        <v>106</v>
      </c>
      <c r="AC48" s="6" t="str">
        <f t="shared" si="8"/>
        <v>Matched</v>
      </c>
      <c r="AD48" s="6" t="s">
        <v>106</v>
      </c>
      <c r="AE48" s="6" t="str">
        <f t="shared" si="9"/>
        <v>Matched</v>
      </c>
      <c r="AF48" s="1" t="s">
        <v>106</v>
      </c>
      <c r="AG48" s="6" t="str">
        <f t="shared" si="10"/>
        <v>Matched</v>
      </c>
      <c r="AH48" s="6" t="s">
        <v>106</v>
      </c>
      <c r="AI48" s="6" t="str">
        <f t="shared" si="11"/>
        <v>Matched</v>
      </c>
      <c r="AJ48" s="12" t="s">
        <v>106</v>
      </c>
      <c r="AK48" s="6" t="str">
        <f t="shared" si="12"/>
        <v>Matched</v>
      </c>
      <c r="AL48" s="12" t="s">
        <v>106</v>
      </c>
      <c r="AM48" s="6" t="str">
        <f t="shared" si="13"/>
        <v>Matched</v>
      </c>
      <c r="AN48" s="6" t="s">
        <v>106</v>
      </c>
      <c r="AO48" s="6" t="str">
        <f t="shared" si="14"/>
        <v>Matched</v>
      </c>
      <c r="AP48" s="6" t="s">
        <v>106</v>
      </c>
      <c r="AQ48" s="6" t="str">
        <f t="shared" si="15"/>
        <v>Matched</v>
      </c>
      <c r="AR48" s="6" t="s">
        <v>106</v>
      </c>
      <c r="AS48" s="6" t="str">
        <f t="shared" si="16"/>
        <v>Matched</v>
      </c>
      <c r="AT48" s="13" t="s">
        <v>106</v>
      </c>
      <c r="AU48" s="6" t="str">
        <f t="shared" si="17"/>
        <v>Matched</v>
      </c>
      <c r="AV48" s="14" t="s">
        <v>106</v>
      </c>
      <c r="AW48" s="6" t="str">
        <f t="shared" si="18"/>
        <v>Matched</v>
      </c>
    </row>
    <row r="49" spans="1:49" x14ac:dyDescent="0.35">
      <c r="A49" s="1" t="s">
        <v>131</v>
      </c>
      <c r="B49" s="6">
        <v>85</v>
      </c>
      <c r="C49" s="1" t="s">
        <v>144</v>
      </c>
      <c r="D49" s="1" t="s">
        <v>181</v>
      </c>
      <c r="E49" s="10">
        <v>46197</v>
      </c>
      <c r="F49" s="11">
        <v>0.58333333333333337</v>
      </c>
      <c r="G49" s="1" t="s">
        <v>111</v>
      </c>
      <c r="H49" s="1" t="s">
        <v>146</v>
      </c>
      <c r="I49" s="1">
        <v>48</v>
      </c>
      <c r="J49" s="1" t="s">
        <v>58</v>
      </c>
      <c r="K49" s="1" t="s">
        <v>111</v>
      </c>
      <c r="L49" s="6" t="s">
        <v>111</v>
      </c>
      <c r="M49" s="1" t="str">
        <f t="shared" si="0"/>
        <v>Matched</v>
      </c>
      <c r="N49" s="6" t="s">
        <v>111</v>
      </c>
      <c r="O49" s="1" t="str">
        <f t="shared" si="1"/>
        <v>Matched</v>
      </c>
      <c r="P49" s="6" t="s">
        <v>111</v>
      </c>
      <c r="Q49" s="1" t="str">
        <f t="shared" si="2"/>
        <v>Matched</v>
      </c>
      <c r="R49" s="1" t="s">
        <v>111</v>
      </c>
      <c r="S49" s="1" t="str">
        <f t="shared" si="3"/>
        <v>Matched</v>
      </c>
      <c r="T49" s="1" t="s">
        <v>111</v>
      </c>
      <c r="U49" s="6" t="str">
        <f t="shared" si="4"/>
        <v>Matched</v>
      </c>
      <c r="V49" s="6" t="s">
        <v>111</v>
      </c>
      <c r="W49" s="6" t="str">
        <f t="shared" si="5"/>
        <v>Matched</v>
      </c>
      <c r="X49" s="6" t="s">
        <v>111</v>
      </c>
      <c r="Y49" s="6" t="str">
        <f t="shared" si="6"/>
        <v>Matched</v>
      </c>
      <c r="Z49" s="1" t="s">
        <v>111</v>
      </c>
      <c r="AA49" s="6" t="str">
        <f t="shared" si="7"/>
        <v>Matched</v>
      </c>
      <c r="AB49" s="6" t="s">
        <v>111</v>
      </c>
      <c r="AC49" s="6" t="str">
        <f t="shared" si="8"/>
        <v>Matched</v>
      </c>
      <c r="AD49" s="6" t="s">
        <v>111</v>
      </c>
      <c r="AE49" s="6" t="str">
        <f t="shared" si="9"/>
        <v>Matched</v>
      </c>
      <c r="AF49" s="1" t="s">
        <v>111</v>
      </c>
      <c r="AG49" s="6" t="str">
        <f t="shared" si="10"/>
        <v>Matched</v>
      </c>
      <c r="AH49" s="1" t="s">
        <v>111</v>
      </c>
      <c r="AI49" s="6" t="str">
        <f t="shared" si="11"/>
        <v>Matched</v>
      </c>
      <c r="AJ49" s="1" t="s">
        <v>111</v>
      </c>
      <c r="AK49" s="6" t="str">
        <f t="shared" si="12"/>
        <v>Matched</v>
      </c>
      <c r="AL49" s="12" t="s">
        <v>111</v>
      </c>
      <c r="AM49" s="6" t="str">
        <f t="shared" si="13"/>
        <v>Matched</v>
      </c>
      <c r="AN49" s="6" t="s">
        <v>111</v>
      </c>
      <c r="AO49" s="6" t="str">
        <f t="shared" si="14"/>
        <v>Matched</v>
      </c>
      <c r="AP49" s="6" t="s">
        <v>111</v>
      </c>
      <c r="AQ49" s="6" t="str">
        <f t="shared" si="15"/>
        <v>Matched</v>
      </c>
      <c r="AR49" s="6" t="s">
        <v>111</v>
      </c>
      <c r="AS49" s="6" t="str">
        <f t="shared" si="16"/>
        <v>Matched</v>
      </c>
      <c r="AT49" s="13" t="s">
        <v>111</v>
      </c>
      <c r="AU49" s="6" t="str">
        <f t="shared" si="17"/>
        <v>Matched</v>
      </c>
      <c r="AV49" s="14" t="s">
        <v>111</v>
      </c>
      <c r="AW49" s="6" t="str">
        <f t="shared" si="18"/>
        <v>Matched</v>
      </c>
    </row>
    <row r="50" spans="1:49" x14ac:dyDescent="0.35">
      <c r="C50" s="1" t="s">
        <v>61</v>
      </c>
      <c r="D50" s="1" t="s">
        <v>182</v>
      </c>
      <c r="E50" s="10">
        <v>46198</v>
      </c>
      <c r="F50" s="11">
        <v>0.29166666666666669</v>
      </c>
      <c r="G50" s="1" t="s">
        <v>77</v>
      </c>
      <c r="H50" s="1" t="s">
        <v>64</v>
      </c>
      <c r="I50" s="1">
        <v>51</v>
      </c>
      <c r="J50" s="1" t="s">
        <v>94</v>
      </c>
      <c r="K50" s="6" t="s">
        <v>77</v>
      </c>
      <c r="L50" s="6" t="s">
        <v>77</v>
      </c>
      <c r="M50" s="1" t="str">
        <f t="shared" si="0"/>
        <v>Matched</v>
      </c>
      <c r="N50" s="6" t="s">
        <v>77</v>
      </c>
      <c r="O50" s="1" t="str">
        <f t="shared" si="1"/>
        <v>Matched</v>
      </c>
      <c r="P50" s="6" t="s">
        <v>64</v>
      </c>
      <c r="Q50" s="1" t="str">
        <f t="shared" si="2"/>
        <v>No Match</v>
      </c>
      <c r="R50" s="1" t="s">
        <v>64</v>
      </c>
      <c r="S50" s="1" t="str">
        <f t="shared" si="3"/>
        <v>No Match</v>
      </c>
      <c r="T50" s="1" t="s">
        <v>77</v>
      </c>
      <c r="U50" s="6" t="str">
        <f t="shared" si="4"/>
        <v>Matched</v>
      </c>
      <c r="V50" s="1" t="s">
        <v>64</v>
      </c>
      <c r="W50" s="6" t="str">
        <f t="shared" si="5"/>
        <v>No Match</v>
      </c>
      <c r="X50" s="1" t="s">
        <v>77</v>
      </c>
      <c r="Y50" s="6" t="str">
        <f t="shared" si="6"/>
        <v>Matched</v>
      </c>
      <c r="Z50" s="1" t="s">
        <v>64</v>
      </c>
      <c r="AA50" s="6" t="str">
        <f t="shared" si="7"/>
        <v>No Match</v>
      </c>
      <c r="AB50" s="6" t="s">
        <v>77</v>
      </c>
      <c r="AC50" s="6" t="str">
        <f t="shared" si="8"/>
        <v>Matched</v>
      </c>
      <c r="AD50" s="6" t="s">
        <v>77</v>
      </c>
      <c r="AE50" s="6" t="str">
        <f t="shared" si="9"/>
        <v>Matched</v>
      </c>
      <c r="AF50" s="1" t="s">
        <v>77</v>
      </c>
      <c r="AG50" s="6" t="str">
        <f t="shared" si="10"/>
        <v>Matched</v>
      </c>
      <c r="AH50" s="6" t="s">
        <v>77</v>
      </c>
      <c r="AI50" s="6" t="str">
        <f t="shared" si="11"/>
        <v>Matched</v>
      </c>
      <c r="AJ50" s="6" t="s">
        <v>59</v>
      </c>
      <c r="AK50" s="6" t="str">
        <f t="shared" si="12"/>
        <v>No Match</v>
      </c>
      <c r="AL50" s="12" t="s">
        <v>77</v>
      </c>
      <c r="AM50" s="6" t="str">
        <f t="shared" si="13"/>
        <v>Matched</v>
      </c>
      <c r="AN50" s="6" t="s">
        <v>59</v>
      </c>
      <c r="AO50" s="6" t="str">
        <f t="shared" si="14"/>
        <v>No Match</v>
      </c>
      <c r="AP50" s="6" t="s">
        <v>77</v>
      </c>
      <c r="AQ50" s="6" t="str">
        <f t="shared" si="15"/>
        <v>Matched</v>
      </c>
      <c r="AR50" s="6" t="s">
        <v>77</v>
      </c>
      <c r="AS50" s="6" t="str">
        <f t="shared" si="16"/>
        <v>Matched</v>
      </c>
      <c r="AT50" s="13" t="s">
        <v>77</v>
      </c>
      <c r="AU50" s="6" t="str">
        <f t="shared" si="17"/>
        <v>Matched</v>
      </c>
      <c r="AV50" s="14" t="s">
        <v>77</v>
      </c>
      <c r="AW50" s="6" t="str">
        <f t="shared" si="18"/>
        <v>Matched</v>
      </c>
    </row>
    <row r="51" spans="1:49" ht="29" x14ac:dyDescent="0.35">
      <c r="C51" s="1" t="s">
        <v>61</v>
      </c>
      <c r="D51" s="1" t="s">
        <v>182</v>
      </c>
      <c r="E51" s="10">
        <v>46198</v>
      </c>
      <c r="F51" s="11">
        <v>0.29166666666666669</v>
      </c>
      <c r="G51" s="1" t="s">
        <v>65</v>
      </c>
      <c r="H51" s="1" t="s">
        <v>76</v>
      </c>
      <c r="I51" s="1">
        <v>52</v>
      </c>
      <c r="J51" s="1" t="s">
        <v>124</v>
      </c>
      <c r="K51" s="1" t="s">
        <v>65</v>
      </c>
      <c r="L51" s="6" t="s">
        <v>59</v>
      </c>
      <c r="M51" s="1" t="str">
        <f t="shared" si="0"/>
        <v>No Match</v>
      </c>
      <c r="N51" s="1" t="s">
        <v>65</v>
      </c>
      <c r="O51" s="1" t="str">
        <f t="shared" si="1"/>
        <v>Matched</v>
      </c>
      <c r="P51" s="6" t="s">
        <v>59</v>
      </c>
      <c r="Q51" s="1" t="str">
        <f t="shared" si="2"/>
        <v>No Match</v>
      </c>
      <c r="R51" s="1" t="s">
        <v>65</v>
      </c>
      <c r="S51" s="1" t="str">
        <f t="shared" si="3"/>
        <v>Matched</v>
      </c>
      <c r="T51" s="1" t="s">
        <v>65</v>
      </c>
      <c r="U51" s="6" t="str">
        <f t="shared" si="4"/>
        <v>Matched</v>
      </c>
      <c r="V51" s="17" t="s">
        <v>65</v>
      </c>
      <c r="W51" s="6" t="str">
        <f t="shared" si="5"/>
        <v>Matched</v>
      </c>
      <c r="X51" s="1" t="s">
        <v>65</v>
      </c>
      <c r="Y51" s="6" t="str">
        <f t="shared" si="6"/>
        <v>Matched</v>
      </c>
      <c r="Z51" s="1" t="s">
        <v>65</v>
      </c>
      <c r="AA51" s="6" t="str">
        <f t="shared" si="7"/>
        <v>Matched</v>
      </c>
      <c r="AB51" s="6" t="s">
        <v>76</v>
      </c>
      <c r="AC51" s="6" t="str">
        <f t="shared" si="8"/>
        <v>No Match</v>
      </c>
      <c r="AD51" s="6" t="s">
        <v>76</v>
      </c>
      <c r="AE51" s="6" t="str">
        <f t="shared" si="9"/>
        <v>No Match</v>
      </c>
      <c r="AF51" s="1" t="s">
        <v>59</v>
      </c>
      <c r="AG51" s="6" t="str">
        <f t="shared" si="10"/>
        <v>No Match</v>
      </c>
      <c r="AH51" s="1" t="s">
        <v>65</v>
      </c>
      <c r="AI51" s="6" t="str">
        <f t="shared" si="11"/>
        <v>Matched</v>
      </c>
      <c r="AJ51" s="6" t="s">
        <v>59</v>
      </c>
      <c r="AK51" s="6" t="str">
        <f t="shared" si="12"/>
        <v>No Match</v>
      </c>
      <c r="AL51" s="12" t="s">
        <v>65</v>
      </c>
      <c r="AM51" s="6" t="str">
        <f>IF(ISBLANK(K51),"TBP",IF(AL51=K51,"Matched","No Match"))</f>
        <v>Matched</v>
      </c>
      <c r="AN51" s="6" t="s">
        <v>65</v>
      </c>
      <c r="AO51" s="6" t="str">
        <f t="shared" si="14"/>
        <v>Matched</v>
      </c>
      <c r="AP51" s="6" t="s">
        <v>65</v>
      </c>
      <c r="AQ51" s="6" t="str">
        <f t="shared" si="15"/>
        <v>Matched</v>
      </c>
      <c r="AR51" s="13" t="s">
        <v>65</v>
      </c>
      <c r="AS51" s="6" t="str">
        <f t="shared" si="16"/>
        <v>Matched</v>
      </c>
      <c r="AT51" s="13" t="s">
        <v>65</v>
      </c>
      <c r="AU51" s="6" t="str">
        <f t="shared" si="17"/>
        <v>Matched</v>
      </c>
      <c r="AV51" s="14" t="s">
        <v>76</v>
      </c>
      <c r="AW51" s="6" t="str">
        <f t="shared" si="18"/>
        <v>No Match</v>
      </c>
    </row>
    <row r="52" spans="1:49" x14ac:dyDescent="0.35">
      <c r="C52" s="1" t="s">
        <v>80</v>
      </c>
      <c r="D52" s="1" t="s">
        <v>183</v>
      </c>
      <c r="E52" s="10">
        <v>46198</v>
      </c>
      <c r="F52" s="11">
        <v>0.41666666666666669</v>
      </c>
      <c r="G52" s="1" t="s">
        <v>87</v>
      </c>
      <c r="H52" s="1" t="s">
        <v>79</v>
      </c>
      <c r="I52" s="1">
        <v>49</v>
      </c>
      <c r="J52" s="1" t="s">
        <v>128</v>
      </c>
      <c r="K52" s="1" t="s">
        <v>79</v>
      </c>
      <c r="L52" s="6" t="s">
        <v>79</v>
      </c>
      <c r="M52" s="1" t="str">
        <f t="shared" si="0"/>
        <v>Matched</v>
      </c>
      <c r="N52" s="6" t="s">
        <v>79</v>
      </c>
      <c r="O52" s="1" t="str">
        <f t="shared" si="1"/>
        <v>Matched</v>
      </c>
      <c r="P52" s="6" t="s">
        <v>79</v>
      </c>
      <c r="Q52" s="1" t="str">
        <f t="shared" si="2"/>
        <v>Matched</v>
      </c>
      <c r="R52" s="1" t="s">
        <v>79</v>
      </c>
      <c r="S52" s="1" t="str">
        <f t="shared" si="3"/>
        <v>Matched</v>
      </c>
      <c r="T52" s="1" t="s">
        <v>79</v>
      </c>
      <c r="U52" s="6" t="str">
        <f t="shared" si="4"/>
        <v>Matched</v>
      </c>
      <c r="V52" s="6" t="s">
        <v>79</v>
      </c>
      <c r="W52" s="6" t="str">
        <f t="shared" si="5"/>
        <v>Matched</v>
      </c>
      <c r="X52" s="1" t="s">
        <v>79</v>
      </c>
      <c r="Y52" s="6" t="str">
        <f t="shared" si="6"/>
        <v>Matched</v>
      </c>
      <c r="Z52" s="1" t="s">
        <v>79</v>
      </c>
      <c r="AA52" s="6" t="str">
        <f t="shared" si="7"/>
        <v>Matched</v>
      </c>
      <c r="AB52" s="6" t="s">
        <v>79</v>
      </c>
      <c r="AC52" s="6" t="str">
        <f t="shared" si="8"/>
        <v>Matched</v>
      </c>
      <c r="AD52" s="6" t="s">
        <v>79</v>
      </c>
      <c r="AE52" s="6" t="str">
        <f t="shared" si="9"/>
        <v>Matched</v>
      </c>
      <c r="AF52" s="1" t="s">
        <v>79</v>
      </c>
      <c r="AG52" s="6" t="str">
        <f t="shared" si="10"/>
        <v>Matched</v>
      </c>
      <c r="AH52" s="6" t="s">
        <v>79</v>
      </c>
      <c r="AI52" s="6" t="str">
        <f t="shared" si="11"/>
        <v>Matched</v>
      </c>
      <c r="AJ52" s="6" t="s">
        <v>79</v>
      </c>
      <c r="AK52" s="6" t="str">
        <f t="shared" si="12"/>
        <v>Matched</v>
      </c>
      <c r="AL52" s="12" t="s">
        <v>79</v>
      </c>
      <c r="AM52" s="6" t="str">
        <f t="shared" si="13"/>
        <v>Matched</v>
      </c>
      <c r="AN52" s="6" t="s">
        <v>79</v>
      </c>
      <c r="AO52" s="6" t="str">
        <f t="shared" si="14"/>
        <v>Matched</v>
      </c>
      <c r="AP52" s="6" t="s">
        <v>79</v>
      </c>
      <c r="AQ52" s="6" t="str">
        <f t="shared" si="15"/>
        <v>Matched</v>
      </c>
      <c r="AR52" s="6" t="s">
        <v>79</v>
      </c>
      <c r="AS52" s="6" t="str">
        <f t="shared" si="16"/>
        <v>Matched</v>
      </c>
      <c r="AT52" s="13" t="s">
        <v>79</v>
      </c>
      <c r="AU52" s="6" t="str">
        <f t="shared" si="17"/>
        <v>Matched</v>
      </c>
      <c r="AV52" s="14" t="s">
        <v>79</v>
      </c>
      <c r="AW52" s="6" t="str">
        <f t="shared" si="18"/>
        <v>Matched</v>
      </c>
    </row>
    <row r="53" spans="1:49" x14ac:dyDescent="0.35">
      <c r="C53" s="1" t="s">
        <v>80</v>
      </c>
      <c r="D53" s="1" t="s">
        <v>183</v>
      </c>
      <c r="E53" s="10">
        <v>46198</v>
      </c>
      <c r="F53" s="11">
        <v>0.41666666666666669</v>
      </c>
      <c r="G53" s="1" t="s">
        <v>83</v>
      </c>
      <c r="H53" s="1" t="s">
        <v>86</v>
      </c>
      <c r="I53" s="1">
        <v>50</v>
      </c>
      <c r="J53" s="1" t="s">
        <v>119</v>
      </c>
      <c r="K53" s="1" t="s">
        <v>83</v>
      </c>
      <c r="L53" s="6" t="s">
        <v>83</v>
      </c>
      <c r="M53" s="1" t="str">
        <f t="shared" si="0"/>
        <v>Matched</v>
      </c>
      <c r="N53" s="1" t="s">
        <v>83</v>
      </c>
      <c r="O53" s="1" t="str">
        <f t="shared" si="1"/>
        <v>Matched</v>
      </c>
      <c r="P53" s="6" t="s">
        <v>83</v>
      </c>
      <c r="Q53" s="1" t="str">
        <f t="shared" si="2"/>
        <v>Matched</v>
      </c>
      <c r="R53" s="1" t="s">
        <v>83</v>
      </c>
      <c r="S53" s="1" t="str">
        <f t="shared" si="3"/>
        <v>Matched</v>
      </c>
      <c r="T53" s="1" t="s">
        <v>83</v>
      </c>
      <c r="U53" s="6" t="str">
        <f t="shared" si="4"/>
        <v>Matched</v>
      </c>
      <c r="V53" s="6" t="s">
        <v>83</v>
      </c>
      <c r="W53" s="6" t="str">
        <f t="shared" si="5"/>
        <v>Matched</v>
      </c>
      <c r="X53" s="6" t="s">
        <v>83</v>
      </c>
      <c r="Y53" s="6" t="str">
        <f t="shared" si="6"/>
        <v>Matched</v>
      </c>
      <c r="Z53" s="1" t="s">
        <v>83</v>
      </c>
      <c r="AA53" s="6" t="str">
        <f t="shared" si="7"/>
        <v>Matched</v>
      </c>
      <c r="AB53" s="6" t="s">
        <v>83</v>
      </c>
      <c r="AC53" s="6" t="str">
        <f t="shared" si="8"/>
        <v>Matched</v>
      </c>
      <c r="AD53" s="6" t="s">
        <v>83</v>
      </c>
      <c r="AE53" s="6" t="str">
        <f t="shared" si="9"/>
        <v>Matched</v>
      </c>
      <c r="AF53" s="1" t="s">
        <v>83</v>
      </c>
      <c r="AG53" s="6" t="str">
        <f t="shared" si="10"/>
        <v>Matched</v>
      </c>
      <c r="AH53" s="6" t="s">
        <v>83</v>
      </c>
      <c r="AI53" s="6" t="str">
        <f t="shared" si="11"/>
        <v>Matched</v>
      </c>
      <c r="AJ53" s="12" t="s">
        <v>83</v>
      </c>
      <c r="AK53" s="6" t="str">
        <f t="shared" si="12"/>
        <v>Matched</v>
      </c>
      <c r="AL53" s="12" t="s">
        <v>83</v>
      </c>
      <c r="AM53" s="6" t="str">
        <f t="shared" si="13"/>
        <v>Matched</v>
      </c>
      <c r="AN53" s="6" t="s">
        <v>83</v>
      </c>
      <c r="AO53" s="6" t="str">
        <f t="shared" si="14"/>
        <v>Matched</v>
      </c>
      <c r="AP53" s="6" t="s">
        <v>83</v>
      </c>
      <c r="AQ53" s="6" t="str">
        <f t="shared" si="15"/>
        <v>Matched</v>
      </c>
      <c r="AR53" s="6" t="s">
        <v>83</v>
      </c>
      <c r="AS53" s="6" t="str">
        <f t="shared" si="16"/>
        <v>Matched</v>
      </c>
      <c r="AT53" s="13" t="s">
        <v>83</v>
      </c>
      <c r="AU53" s="6" t="str">
        <f t="shared" si="17"/>
        <v>Matched</v>
      </c>
      <c r="AV53" s="14" t="s">
        <v>83</v>
      </c>
      <c r="AW53" s="6" t="str">
        <f t="shared" si="18"/>
        <v>Matched</v>
      </c>
    </row>
    <row r="54" spans="1:49" x14ac:dyDescent="0.35">
      <c r="C54" s="1" t="s">
        <v>49</v>
      </c>
      <c r="D54" s="1" t="s">
        <v>184</v>
      </c>
      <c r="E54" s="10">
        <v>46198</v>
      </c>
      <c r="F54" s="11">
        <v>0.54166666666666663</v>
      </c>
      <c r="G54" s="1" t="s">
        <v>57</v>
      </c>
      <c r="H54" s="1" t="s">
        <v>51</v>
      </c>
      <c r="I54" s="1">
        <v>53</v>
      </c>
      <c r="J54" s="1" t="s">
        <v>53</v>
      </c>
      <c r="K54" s="1" t="s">
        <v>51</v>
      </c>
      <c r="L54" s="6" t="s">
        <v>51</v>
      </c>
      <c r="M54" s="1" t="str">
        <f t="shared" si="0"/>
        <v>Matched</v>
      </c>
      <c r="N54" s="1" t="s">
        <v>51</v>
      </c>
      <c r="O54" s="1" t="str">
        <f t="shared" si="1"/>
        <v>Matched</v>
      </c>
      <c r="P54" s="6" t="s">
        <v>51</v>
      </c>
      <c r="Q54" s="1" t="str">
        <f t="shared" si="2"/>
        <v>Matched</v>
      </c>
      <c r="R54" s="1" t="s">
        <v>51</v>
      </c>
      <c r="S54" s="1" t="str">
        <f t="shared" si="3"/>
        <v>Matched</v>
      </c>
      <c r="T54" s="1" t="s">
        <v>51</v>
      </c>
      <c r="U54" s="6" t="str">
        <f t="shared" si="4"/>
        <v>Matched</v>
      </c>
      <c r="V54" s="6" t="s">
        <v>51</v>
      </c>
      <c r="W54" s="6" t="str">
        <f t="shared" si="5"/>
        <v>Matched</v>
      </c>
      <c r="X54" s="6" t="s">
        <v>51</v>
      </c>
      <c r="Y54" s="6" t="str">
        <f t="shared" si="6"/>
        <v>Matched</v>
      </c>
      <c r="Z54" s="1" t="s">
        <v>51</v>
      </c>
      <c r="AA54" s="6" t="str">
        <f t="shared" si="7"/>
        <v>Matched</v>
      </c>
      <c r="AB54" s="6" t="s">
        <v>51</v>
      </c>
      <c r="AC54" s="6" t="str">
        <f t="shared" si="8"/>
        <v>Matched</v>
      </c>
      <c r="AD54" s="6" t="s">
        <v>51</v>
      </c>
      <c r="AE54" s="6" t="str">
        <f t="shared" si="9"/>
        <v>Matched</v>
      </c>
      <c r="AF54" s="1" t="s">
        <v>51</v>
      </c>
      <c r="AG54" s="6" t="str">
        <f t="shared" si="10"/>
        <v>Matched</v>
      </c>
      <c r="AH54" s="6" t="s">
        <v>51</v>
      </c>
      <c r="AI54" s="6" t="str">
        <f t="shared" si="11"/>
        <v>Matched</v>
      </c>
      <c r="AJ54" s="12" t="s">
        <v>51</v>
      </c>
      <c r="AK54" s="6" t="str">
        <f t="shared" si="12"/>
        <v>Matched</v>
      </c>
      <c r="AL54" s="12" t="s">
        <v>51</v>
      </c>
      <c r="AM54" s="6" t="str">
        <f t="shared" si="13"/>
        <v>Matched</v>
      </c>
      <c r="AN54" s="6" t="s">
        <v>51</v>
      </c>
      <c r="AO54" s="6" t="str">
        <f t="shared" si="14"/>
        <v>Matched</v>
      </c>
      <c r="AP54" s="6" t="s">
        <v>51</v>
      </c>
      <c r="AQ54" s="6" t="str">
        <f t="shared" si="15"/>
        <v>Matched</v>
      </c>
      <c r="AR54" s="6" t="s">
        <v>51</v>
      </c>
      <c r="AS54" s="6" t="str">
        <f t="shared" si="16"/>
        <v>Matched</v>
      </c>
      <c r="AT54" s="13" t="s">
        <v>51</v>
      </c>
      <c r="AU54" s="6" t="str">
        <f t="shared" si="17"/>
        <v>Matched</v>
      </c>
      <c r="AV54" s="14" t="s">
        <v>51</v>
      </c>
      <c r="AW54" s="6" t="str">
        <f t="shared" si="18"/>
        <v>Matched</v>
      </c>
    </row>
    <row r="55" spans="1:49" x14ac:dyDescent="0.35">
      <c r="C55" s="1" t="s">
        <v>49</v>
      </c>
      <c r="D55" s="1" t="s">
        <v>184</v>
      </c>
      <c r="E55" s="10">
        <v>46198</v>
      </c>
      <c r="F55" s="11">
        <v>0.54166666666666663</v>
      </c>
      <c r="G55" s="1" t="s">
        <v>52</v>
      </c>
      <c r="H55" s="1" t="s">
        <v>56</v>
      </c>
      <c r="I55" s="1">
        <v>54</v>
      </c>
      <c r="J55" s="1" t="s">
        <v>115</v>
      </c>
      <c r="K55" s="1" t="s">
        <v>52</v>
      </c>
      <c r="L55" s="6" t="s">
        <v>56</v>
      </c>
      <c r="M55" s="1" t="str">
        <f t="shared" si="0"/>
        <v>No Match</v>
      </c>
      <c r="N55" s="1" t="s">
        <v>56</v>
      </c>
      <c r="O55" s="1" t="str">
        <f t="shared" si="1"/>
        <v>No Match</v>
      </c>
      <c r="P55" s="6" t="s">
        <v>56</v>
      </c>
      <c r="Q55" s="1" t="str">
        <f t="shared" si="2"/>
        <v>No Match</v>
      </c>
      <c r="R55" s="1" t="s">
        <v>56</v>
      </c>
      <c r="S55" s="1" t="str">
        <f t="shared" si="3"/>
        <v>No Match</v>
      </c>
      <c r="T55" s="1" t="s">
        <v>56</v>
      </c>
      <c r="U55" s="6" t="str">
        <f t="shared" si="4"/>
        <v>No Match</v>
      </c>
      <c r="V55" s="6" t="s">
        <v>56</v>
      </c>
      <c r="W55" s="6" t="str">
        <f t="shared" si="5"/>
        <v>No Match</v>
      </c>
      <c r="X55" s="1" t="s">
        <v>56</v>
      </c>
      <c r="Y55" s="6" t="str">
        <f t="shared" si="6"/>
        <v>No Match</v>
      </c>
      <c r="Z55" s="1" t="s">
        <v>52</v>
      </c>
      <c r="AA55" s="6" t="str">
        <f t="shared" si="7"/>
        <v>Matched</v>
      </c>
      <c r="AB55" s="16" t="s">
        <v>52</v>
      </c>
      <c r="AC55" s="6" t="str">
        <f t="shared" si="8"/>
        <v>Matched</v>
      </c>
      <c r="AD55" s="16" t="s">
        <v>52</v>
      </c>
      <c r="AE55" s="6" t="str">
        <f t="shared" si="9"/>
        <v>Matched</v>
      </c>
      <c r="AF55" s="1" t="s">
        <v>56</v>
      </c>
      <c r="AG55" s="6" t="str">
        <f t="shared" si="10"/>
        <v>No Match</v>
      </c>
      <c r="AH55" s="6" t="s">
        <v>59</v>
      </c>
      <c r="AI55" s="6" t="str">
        <f t="shared" si="11"/>
        <v>No Match</v>
      </c>
      <c r="AJ55" s="6" t="s">
        <v>56</v>
      </c>
      <c r="AK55" s="6" t="str">
        <f t="shared" si="12"/>
        <v>No Match</v>
      </c>
      <c r="AL55" s="12" t="s">
        <v>56</v>
      </c>
      <c r="AM55" s="6" t="str">
        <f t="shared" si="13"/>
        <v>No Match</v>
      </c>
      <c r="AN55" s="6" t="s">
        <v>56</v>
      </c>
      <c r="AO55" s="6" t="str">
        <f t="shared" si="14"/>
        <v>No Match</v>
      </c>
      <c r="AP55" s="6" t="s">
        <v>56</v>
      </c>
      <c r="AQ55" s="6" t="str">
        <f t="shared" si="15"/>
        <v>No Match</v>
      </c>
      <c r="AR55" s="6" t="s">
        <v>56</v>
      </c>
      <c r="AS55" s="6" t="str">
        <f t="shared" si="16"/>
        <v>No Match</v>
      </c>
      <c r="AT55" s="13" t="s">
        <v>56</v>
      </c>
      <c r="AU55" s="6" t="str">
        <f t="shared" si="17"/>
        <v>No Match</v>
      </c>
      <c r="AV55" s="14" t="s">
        <v>56</v>
      </c>
      <c r="AW55" s="6" t="str">
        <f t="shared" si="18"/>
        <v>No Match</v>
      </c>
    </row>
    <row r="56" spans="1:49" x14ac:dyDescent="0.35">
      <c r="C56" s="1" t="s">
        <v>97</v>
      </c>
      <c r="D56" s="1" t="s">
        <v>185</v>
      </c>
      <c r="E56" s="10">
        <v>46199</v>
      </c>
      <c r="F56" s="11">
        <v>0.33333333333333331</v>
      </c>
      <c r="G56" s="1" t="s">
        <v>100</v>
      </c>
      <c r="H56" s="1" t="s">
        <v>108</v>
      </c>
      <c r="I56" s="1">
        <v>55</v>
      </c>
      <c r="J56" s="1" t="s">
        <v>110</v>
      </c>
      <c r="K56" s="1" t="s">
        <v>108</v>
      </c>
      <c r="L56" s="6" t="s">
        <v>108</v>
      </c>
      <c r="M56" s="1" t="str">
        <f t="shared" si="0"/>
        <v>Matched</v>
      </c>
      <c r="N56" s="6" t="s">
        <v>108</v>
      </c>
      <c r="O56" s="1" t="str">
        <f t="shared" si="1"/>
        <v>Matched</v>
      </c>
      <c r="P56" s="6" t="s">
        <v>108</v>
      </c>
      <c r="Q56" s="1" t="str">
        <f t="shared" si="2"/>
        <v>Matched</v>
      </c>
      <c r="R56" s="1" t="s">
        <v>108</v>
      </c>
      <c r="S56" s="1" t="str">
        <f t="shared" si="3"/>
        <v>Matched</v>
      </c>
      <c r="T56" s="1" t="s">
        <v>108</v>
      </c>
      <c r="U56" s="6" t="str">
        <f t="shared" si="4"/>
        <v>Matched</v>
      </c>
      <c r="V56" s="6" t="s">
        <v>108</v>
      </c>
      <c r="W56" s="6" t="str">
        <f t="shared" si="5"/>
        <v>Matched</v>
      </c>
      <c r="X56" s="1" t="s">
        <v>108</v>
      </c>
      <c r="Y56" s="6" t="str">
        <f t="shared" si="6"/>
        <v>Matched</v>
      </c>
      <c r="Z56" s="1" t="s">
        <v>108</v>
      </c>
      <c r="AA56" s="6" t="str">
        <f t="shared" si="7"/>
        <v>Matched</v>
      </c>
      <c r="AB56" s="6" t="s">
        <v>108</v>
      </c>
      <c r="AC56" s="6" t="str">
        <f t="shared" si="8"/>
        <v>Matched</v>
      </c>
      <c r="AD56" s="6" t="s">
        <v>108</v>
      </c>
      <c r="AE56" s="6" t="str">
        <f t="shared" si="9"/>
        <v>Matched</v>
      </c>
      <c r="AF56" s="1" t="s">
        <v>108</v>
      </c>
      <c r="AG56" s="6" t="str">
        <f t="shared" si="10"/>
        <v>Matched</v>
      </c>
      <c r="AH56" s="6" t="s">
        <v>59</v>
      </c>
      <c r="AI56" s="6" t="str">
        <f t="shared" si="11"/>
        <v>No Match</v>
      </c>
      <c r="AJ56" s="12" t="s">
        <v>108</v>
      </c>
      <c r="AK56" s="6" t="str">
        <f t="shared" si="12"/>
        <v>Matched</v>
      </c>
      <c r="AL56" s="12" t="s">
        <v>108</v>
      </c>
      <c r="AM56" s="6" t="str">
        <f t="shared" si="13"/>
        <v>Matched</v>
      </c>
      <c r="AN56" s="6" t="s">
        <v>108</v>
      </c>
      <c r="AO56" s="6" t="str">
        <f t="shared" si="14"/>
        <v>Matched</v>
      </c>
      <c r="AP56" s="6" t="s">
        <v>100</v>
      </c>
      <c r="AQ56" s="6" t="str">
        <f t="shared" si="15"/>
        <v>No Match</v>
      </c>
      <c r="AR56" s="6" t="s">
        <v>108</v>
      </c>
      <c r="AS56" s="6" t="str">
        <f t="shared" si="16"/>
        <v>Matched</v>
      </c>
      <c r="AT56" s="13" t="s">
        <v>108</v>
      </c>
      <c r="AU56" s="6" t="str">
        <f t="shared" si="17"/>
        <v>Matched</v>
      </c>
      <c r="AV56" s="14" t="s">
        <v>108</v>
      </c>
      <c r="AW56" s="6" t="str">
        <f t="shared" si="18"/>
        <v>Matched</v>
      </c>
    </row>
    <row r="57" spans="1:49" x14ac:dyDescent="0.35">
      <c r="C57" s="1" t="s">
        <v>97</v>
      </c>
      <c r="D57" s="1" t="s">
        <v>185</v>
      </c>
      <c r="E57" s="10">
        <v>46199</v>
      </c>
      <c r="F57" s="11">
        <v>0.33333333333333331</v>
      </c>
      <c r="G57" s="1" t="s">
        <v>109</v>
      </c>
      <c r="H57" s="1" t="s">
        <v>99</v>
      </c>
      <c r="I57" s="1">
        <v>56</v>
      </c>
      <c r="J57" s="1" t="s">
        <v>84</v>
      </c>
      <c r="K57" s="1" t="s">
        <v>109</v>
      </c>
      <c r="L57" s="6" t="s">
        <v>99</v>
      </c>
      <c r="M57" s="1" t="str">
        <f t="shared" si="0"/>
        <v>No Match</v>
      </c>
      <c r="N57" s="1" t="s">
        <v>99</v>
      </c>
      <c r="O57" s="1" t="str">
        <f t="shared" si="1"/>
        <v>No Match</v>
      </c>
      <c r="P57" s="6" t="s">
        <v>99</v>
      </c>
      <c r="Q57" s="1" t="str">
        <f t="shared" si="2"/>
        <v>No Match</v>
      </c>
      <c r="R57" s="1" t="s">
        <v>99</v>
      </c>
      <c r="S57" s="1" t="str">
        <f t="shared" si="3"/>
        <v>No Match</v>
      </c>
      <c r="T57" s="1" t="s">
        <v>109</v>
      </c>
      <c r="U57" s="6" t="str">
        <f t="shared" si="4"/>
        <v>Matched</v>
      </c>
      <c r="V57" s="6" t="s">
        <v>99</v>
      </c>
      <c r="W57" s="6" t="str">
        <f t="shared" si="5"/>
        <v>No Match</v>
      </c>
      <c r="X57" s="1" t="s">
        <v>99</v>
      </c>
      <c r="Y57" s="6" t="str">
        <f t="shared" si="6"/>
        <v>No Match</v>
      </c>
      <c r="Z57" s="1" t="s">
        <v>99</v>
      </c>
      <c r="AA57" s="6" t="str">
        <f t="shared" si="7"/>
        <v>No Match</v>
      </c>
      <c r="AB57" s="6" t="s">
        <v>99</v>
      </c>
      <c r="AC57" s="6" t="str">
        <f t="shared" si="8"/>
        <v>No Match</v>
      </c>
      <c r="AD57" s="6" t="s">
        <v>99</v>
      </c>
      <c r="AE57" s="6" t="str">
        <f t="shared" si="9"/>
        <v>No Match</v>
      </c>
      <c r="AF57" s="1" t="s">
        <v>99</v>
      </c>
      <c r="AG57" s="6" t="str">
        <f t="shared" si="10"/>
        <v>No Match</v>
      </c>
      <c r="AH57" s="6" t="s">
        <v>99</v>
      </c>
      <c r="AI57" s="6" t="str">
        <f t="shared" si="11"/>
        <v>No Match</v>
      </c>
      <c r="AJ57" s="12" t="s">
        <v>99</v>
      </c>
      <c r="AK57" s="6" t="str">
        <f t="shared" si="12"/>
        <v>No Match</v>
      </c>
      <c r="AL57" s="12" t="s">
        <v>99</v>
      </c>
      <c r="AM57" s="6" t="str">
        <f t="shared" si="13"/>
        <v>No Match</v>
      </c>
      <c r="AN57" s="6" t="s">
        <v>99</v>
      </c>
      <c r="AO57" s="6" t="str">
        <f t="shared" si="14"/>
        <v>No Match</v>
      </c>
      <c r="AP57" s="6" t="s">
        <v>99</v>
      </c>
      <c r="AQ57" s="6" t="str">
        <f t="shared" si="15"/>
        <v>No Match</v>
      </c>
      <c r="AR57" s="6" t="s">
        <v>99</v>
      </c>
      <c r="AS57" s="6" t="str">
        <f t="shared" si="16"/>
        <v>No Match</v>
      </c>
      <c r="AT57" s="13" t="s">
        <v>99</v>
      </c>
      <c r="AU57" s="6" t="str">
        <f t="shared" si="17"/>
        <v>No Match</v>
      </c>
      <c r="AV57" s="14" t="s">
        <v>99</v>
      </c>
      <c r="AW57" s="6" t="str">
        <f t="shared" si="18"/>
        <v>No Match</v>
      </c>
    </row>
    <row r="58" spans="1:49" x14ac:dyDescent="0.35">
      <c r="C58" s="1" t="s">
        <v>102</v>
      </c>
      <c r="D58" s="1" t="s">
        <v>186</v>
      </c>
      <c r="E58" s="10">
        <v>46199</v>
      </c>
      <c r="F58" s="11">
        <v>0.45833333333333331</v>
      </c>
      <c r="G58" s="1" t="s">
        <v>104</v>
      </c>
      <c r="H58" s="1" t="s">
        <v>113</v>
      </c>
      <c r="I58" s="1">
        <v>57</v>
      </c>
      <c r="J58" s="1" t="s">
        <v>105</v>
      </c>
      <c r="K58" s="1" t="s">
        <v>59</v>
      </c>
      <c r="L58" s="6" t="s">
        <v>113</v>
      </c>
      <c r="M58" s="1" t="str">
        <f t="shared" si="0"/>
        <v>No Match</v>
      </c>
      <c r="N58" s="1" t="s">
        <v>104</v>
      </c>
      <c r="O58" s="1" t="str">
        <f t="shared" si="1"/>
        <v>No Match</v>
      </c>
      <c r="P58" s="6" t="s">
        <v>104</v>
      </c>
      <c r="Q58" s="1" t="str">
        <f t="shared" si="2"/>
        <v>No Match</v>
      </c>
      <c r="R58" s="1" t="s">
        <v>113</v>
      </c>
      <c r="S58" s="1" t="str">
        <f t="shared" si="3"/>
        <v>No Match</v>
      </c>
      <c r="T58" s="1" t="s">
        <v>104</v>
      </c>
      <c r="U58" s="6" t="str">
        <f t="shared" si="4"/>
        <v>No Match</v>
      </c>
      <c r="V58" s="1" t="s">
        <v>104</v>
      </c>
      <c r="W58" s="6" t="str">
        <f t="shared" si="5"/>
        <v>No Match</v>
      </c>
      <c r="X58" s="1" t="s">
        <v>113</v>
      </c>
      <c r="Y58" s="6" t="str">
        <f t="shared" si="6"/>
        <v>No Match</v>
      </c>
      <c r="Z58" s="1" t="s">
        <v>113</v>
      </c>
      <c r="AA58" s="6" t="str">
        <f t="shared" si="7"/>
        <v>No Match</v>
      </c>
      <c r="AB58" s="6" t="s">
        <v>59</v>
      </c>
      <c r="AC58" s="6" t="str">
        <f t="shared" si="8"/>
        <v>Matched</v>
      </c>
      <c r="AD58" s="6" t="s">
        <v>59</v>
      </c>
      <c r="AE58" s="6" t="str">
        <f t="shared" si="9"/>
        <v>Matched</v>
      </c>
      <c r="AF58" s="1" t="s">
        <v>104</v>
      </c>
      <c r="AG58" s="6" t="str">
        <f t="shared" si="10"/>
        <v>No Match</v>
      </c>
      <c r="AH58" s="6" t="s">
        <v>59</v>
      </c>
      <c r="AI58" s="6" t="str">
        <f t="shared" si="11"/>
        <v>Matched</v>
      </c>
      <c r="AJ58" s="6" t="s">
        <v>59</v>
      </c>
      <c r="AK58" s="6" t="str">
        <f t="shared" si="12"/>
        <v>Matched</v>
      </c>
      <c r="AL58" s="12" t="s">
        <v>104</v>
      </c>
      <c r="AM58" s="6" t="str">
        <f t="shared" si="13"/>
        <v>No Match</v>
      </c>
      <c r="AN58" s="6" t="s">
        <v>104</v>
      </c>
      <c r="AO58" s="6" t="str">
        <f t="shared" si="14"/>
        <v>No Match</v>
      </c>
      <c r="AP58" s="6" t="s">
        <v>113</v>
      </c>
      <c r="AQ58" s="6" t="str">
        <f t="shared" si="15"/>
        <v>No Match</v>
      </c>
      <c r="AR58" s="6" t="s">
        <v>104</v>
      </c>
      <c r="AS58" s="6" t="str">
        <f t="shared" si="16"/>
        <v>No Match</v>
      </c>
      <c r="AT58" s="13" t="s">
        <v>104</v>
      </c>
      <c r="AU58" s="6" t="str">
        <f t="shared" si="17"/>
        <v>No Match</v>
      </c>
      <c r="AV58" s="14" t="s">
        <v>104</v>
      </c>
      <c r="AW58" s="6" t="str">
        <f t="shared" si="18"/>
        <v>No Match</v>
      </c>
    </row>
    <row r="59" spans="1:49" x14ac:dyDescent="0.35">
      <c r="C59" s="1" t="s">
        <v>102</v>
      </c>
      <c r="D59" s="1" t="s">
        <v>186</v>
      </c>
      <c r="E59" s="10">
        <v>46199</v>
      </c>
      <c r="F59" s="11">
        <v>0.45833333333333331</v>
      </c>
      <c r="G59" s="1" t="s">
        <v>114</v>
      </c>
      <c r="H59" s="1" t="s">
        <v>89</v>
      </c>
      <c r="I59" s="1">
        <v>58</v>
      </c>
      <c r="J59" s="1" t="s">
        <v>140</v>
      </c>
      <c r="K59" s="1" t="s">
        <v>89</v>
      </c>
      <c r="L59" s="6" t="s">
        <v>89</v>
      </c>
      <c r="M59" s="1" t="str">
        <f t="shared" si="0"/>
        <v>Matched</v>
      </c>
      <c r="N59" s="1" t="s">
        <v>89</v>
      </c>
      <c r="O59" s="1" t="str">
        <f t="shared" si="1"/>
        <v>Matched</v>
      </c>
      <c r="P59" s="6" t="s">
        <v>89</v>
      </c>
      <c r="Q59" s="1" t="str">
        <f t="shared" si="2"/>
        <v>Matched</v>
      </c>
      <c r="R59" s="1" t="s">
        <v>89</v>
      </c>
      <c r="S59" s="1" t="str">
        <f t="shared" si="3"/>
        <v>Matched</v>
      </c>
      <c r="T59" s="1" t="s">
        <v>89</v>
      </c>
      <c r="U59" s="6" t="str">
        <f t="shared" si="4"/>
        <v>Matched</v>
      </c>
      <c r="V59" s="6" t="s">
        <v>89</v>
      </c>
      <c r="W59" s="6" t="str">
        <f t="shared" si="5"/>
        <v>Matched</v>
      </c>
      <c r="X59" s="1" t="s">
        <v>89</v>
      </c>
      <c r="Y59" s="6" t="str">
        <f t="shared" si="6"/>
        <v>Matched</v>
      </c>
      <c r="Z59" s="1" t="s">
        <v>114</v>
      </c>
      <c r="AA59" s="6" t="str">
        <f t="shared" si="7"/>
        <v>No Match</v>
      </c>
      <c r="AB59" s="6" t="s">
        <v>89</v>
      </c>
      <c r="AC59" s="6" t="str">
        <f t="shared" si="8"/>
        <v>Matched</v>
      </c>
      <c r="AD59" s="6" t="s">
        <v>89</v>
      </c>
      <c r="AE59" s="6" t="str">
        <f t="shared" si="9"/>
        <v>Matched</v>
      </c>
      <c r="AF59" s="1" t="s">
        <v>89</v>
      </c>
      <c r="AG59" s="6" t="str">
        <f t="shared" si="10"/>
        <v>Matched</v>
      </c>
      <c r="AH59" s="6" t="s">
        <v>89</v>
      </c>
      <c r="AI59" s="6" t="str">
        <f t="shared" si="11"/>
        <v>Matched</v>
      </c>
      <c r="AJ59" s="12" t="s">
        <v>89</v>
      </c>
      <c r="AK59" s="6" t="str">
        <f t="shared" si="12"/>
        <v>Matched</v>
      </c>
      <c r="AL59" s="12" t="s">
        <v>89</v>
      </c>
      <c r="AM59" s="6" t="str">
        <f t="shared" si="13"/>
        <v>Matched</v>
      </c>
      <c r="AN59" s="6" t="s">
        <v>89</v>
      </c>
      <c r="AO59" s="6" t="str">
        <f t="shared" si="14"/>
        <v>Matched</v>
      </c>
      <c r="AP59" s="6" t="s">
        <v>89</v>
      </c>
      <c r="AQ59" s="6" t="str">
        <f t="shared" si="15"/>
        <v>Matched</v>
      </c>
      <c r="AR59" s="6" t="s">
        <v>89</v>
      </c>
      <c r="AS59" s="6" t="str">
        <f t="shared" si="16"/>
        <v>Matched</v>
      </c>
      <c r="AT59" s="13" t="s">
        <v>89</v>
      </c>
      <c r="AU59" s="6" t="str">
        <f t="shared" si="17"/>
        <v>Matched</v>
      </c>
      <c r="AV59" s="14" t="s">
        <v>89</v>
      </c>
      <c r="AW59" s="6" t="str">
        <f t="shared" si="18"/>
        <v>Matched</v>
      </c>
    </row>
    <row r="60" spans="1:49" x14ac:dyDescent="0.35">
      <c r="C60" s="1" t="s">
        <v>68</v>
      </c>
      <c r="D60" s="1" t="s">
        <v>187</v>
      </c>
      <c r="E60" s="10">
        <v>46199</v>
      </c>
      <c r="F60" s="11">
        <v>0.58333333333333337</v>
      </c>
      <c r="G60" s="1" t="s">
        <v>93</v>
      </c>
      <c r="H60" s="1" t="s">
        <v>71</v>
      </c>
      <c r="I60" s="1">
        <v>59</v>
      </c>
      <c r="J60" s="1" t="s">
        <v>73</v>
      </c>
      <c r="K60" s="1" t="s">
        <v>93</v>
      </c>
      <c r="L60" s="6" t="s">
        <v>71</v>
      </c>
      <c r="M60" s="1" t="str">
        <f t="shared" si="0"/>
        <v>No Match</v>
      </c>
      <c r="N60" s="1" t="s">
        <v>71</v>
      </c>
      <c r="O60" s="1" t="str">
        <f t="shared" si="1"/>
        <v>No Match</v>
      </c>
      <c r="P60" s="6" t="s">
        <v>71</v>
      </c>
      <c r="Q60" s="1" t="str">
        <f t="shared" si="2"/>
        <v>No Match</v>
      </c>
      <c r="R60" s="1" t="s">
        <v>71</v>
      </c>
      <c r="S60" s="1" t="str">
        <f t="shared" si="3"/>
        <v>No Match</v>
      </c>
      <c r="T60" s="1" t="s">
        <v>93</v>
      </c>
      <c r="U60" s="6" t="str">
        <f t="shared" si="4"/>
        <v>Matched</v>
      </c>
      <c r="V60" s="6" t="s">
        <v>71</v>
      </c>
      <c r="W60" s="6" t="str">
        <f t="shared" si="5"/>
        <v>No Match</v>
      </c>
      <c r="X60" s="1" t="s">
        <v>71</v>
      </c>
      <c r="Y60" s="6" t="str">
        <f t="shared" si="6"/>
        <v>No Match</v>
      </c>
      <c r="Z60" s="1" t="s">
        <v>71</v>
      </c>
      <c r="AA60" s="6" t="str">
        <f t="shared" si="7"/>
        <v>No Match</v>
      </c>
      <c r="AB60" s="6" t="s">
        <v>59</v>
      </c>
      <c r="AC60" s="6" t="str">
        <f t="shared" si="8"/>
        <v>No Match</v>
      </c>
      <c r="AD60" s="6" t="s">
        <v>59</v>
      </c>
      <c r="AE60" s="6" t="str">
        <f t="shared" si="9"/>
        <v>No Match</v>
      </c>
      <c r="AF60" s="6" t="s">
        <v>71</v>
      </c>
      <c r="AG60" s="6" t="str">
        <f t="shared" si="10"/>
        <v>No Match</v>
      </c>
      <c r="AH60" s="6" t="s">
        <v>71</v>
      </c>
      <c r="AI60" s="6" t="str">
        <f t="shared" si="11"/>
        <v>No Match</v>
      </c>
      <c r="AJ60" s="1" t="s">
        <v>93</v>
      </c>
      <c r="AK60" s="6" t="str">
        <f t="shared" si="12"/>
        <v>Matched</v>
      </c>
      <c r="AL60" s="12" t="s">
        <v>71</v>
      </c>
      <c r="AM60" s="6" t="str">
        <f t="shared" si="13"/>
        <v>No Match</v>
      </c>
      <c r="AN60" s="6" t="s">
        <v>71</v>
      </c>
      <c r="AO60" s="6" t="str">
        <f t="shared" si="14"/>
        <v>No Match</v>
      </c>
      <c r="AP60" s="6" t="s">
        <v>71</v>
      </c>
      <c r="AQ60" s="6" t="str">
        <f t="shared" si="15"/>
        <v>No Match</v>
      </c>
      <c r="AR60" s="6" t="s">
        <v>71</v>
      </c>
      <c r="AS60" s="6" t="str">
        <f t="shared" si="16"/>
        <v>No Match</v>
      </c>
      <c r="AT60" s="13" t="s">
        <v>71</v>
      </c>
      <c r="AU60" s="6" t="str">
        <f t="shared" si="17"/>
        <v>No Match</v>
      </c>
      <c r="AV60" s="14" t="s">
        <v>71</v>
      </c>
      <c r="AW60" s="6" t="str">
        <f t="shared" si="18"/>
        <v>No Match</v>
      </c>
    </row>
    <row r="61" spans="1:49" x14ac:dyDescent="0.35">
      <c r="C61" s="1" t="s">
        <v>68</v>
      </c>
      <c r="D61" s="1" t="s">
        <v>187</v>
      </c>
      <c r="E61" s="10">
        <v>46199</v>
      </c>
      <c r="F61" s="11">
        <v>0.58333333333333337</v>
      </c>
      <c r="G61" s="1" t="s">
        <v>72</v>
      </c>
      <c r="H61" s="1" t="s">
        <v>92</v>
      </c>
      <c r="I61" s="1">
        <v>60</v>
      </c>
      <c r="J61" s="1" t="s">
        <v>78</v>
      </c>
      <c r="K61" s="1" t="s">
        <v>59</v>
      </c>
      <c r="L61" s="6" t="s">
        <v>92</v>
      </c>
      <c r="M61" s="1" t="str">
        <f t="shared" si="0"/>
        <v>No Match</v>
      </c>
      <c r="N61" s="6" t="s">
        <v>59</v>
      </c>
      <c r="O61" s="1" t="str">
        <f t="shared" si="1"/>
        <v>Matched</v>
      </c>
      <c r="P61" s="6" t="s">
        <v>72</v>
      </c>
      <c r="Q61" s="1" t="str">
        <f t="shared" si="2"/>
        <v>No Match</v>
      </c>
      <c r="R61" s="1" t="s">
        <v>92</v>
      </c>
      <c r="S61" s="1" t="str">
        <f t="shared" si="3"/>
        <v>No Match</v>
      </c>
      <c r="T61" s="1" t="s">
        <v>72</v>
      </c>
      <c r="U61" s="6" t="str">
        <f t="shared" si="4"/>
        <v>No Match</v>
      </c>
      <c r="V61" s="6" t="s">
        <v>72</v>
      </c>
      <c r="W61" s="6" t="str">
        <f t="shared" si="5"/>
        <v>No Match</v>
      </c>
      <c r="X61" s="6" t="s">
        <v>59</v>
      </c>
      <c r="Y61" s="6" t="str">
        <f t="shared" si="6"/>
        <v>Matched</v>
      </c>
      <c r="Z61" s="1" t="s">
        <v>92</v>
      </c>
      <c r="AA61" s="6" t="str">
        <f t="shared" si="7"/>
        <v>No Match</v>
      </c>
      <c r="AB61" s="6" t="s">
        <v>72</v>
      </c>
      <c r="AC61" s="6" t="str">
        <f t="shared" si="8"/>
        <v>No Match</v>
      </c>
      <c r="AD61" s="6" t="s">
        <v>72</v>
      </c>
      <c r="AE61" s="6" t="str">
        <f t="shared" si="9"/>
        <v>No Match</v>
      </c>
      <c r="AF61" s="1" t="s">
        <v>72</v>
      </c>
      <c r="AG61" s="6" t="str">
        <f t="shared" si="10"/>
        <v>No Match</v>
      </c>
      <c r="AH61" s="6" t="s">
        <v>92</v>
      </c>
      <c r="AI61" s="6" t="str">
        <f t="shared" si="11"/>
        <v>No Match</v>
      </c>
      <c r="AJ61" s="12" t="s">
        <v>92</v>
      </c>
      <c r="AK61" s="6" t="str">
        <f t="shared" si="12"/>
        <v>No Match</v>
      </c>
      <c r="AL61" s="12" t="s">
        <v>92</v>
      </c>
      <c r="AM61" s="6" t="str">
        <f t="shared" si="13"/>
        <v>No Match</v>
      </c>
      <c r="AN61" s="6" t="s">
        <v>72</v>
      </c>
      <c r="AO61" s="6" t="str">
        <f t="shared" si="14"/>
        <v>No Match</v>
      </c>
      <c r="AP61" s="6" t="s">
        <v>188</v>
      </c>
      <c r="AQ61" s="6" t="str">
        <f t="shared" si="15"/>
        <v>No Match</v>
      </c>
      <c r="AR61" s="6" t="s">
        <v>59</v>
      </c>
      <c r="AS61" s="6" t="str">
        <f t="shared" si="16"/>
        <v>Matched</v>
      </c>
      <c r="AT61" s="13" t="s">
        <v>92</v>
      </c>
      <c r="AU61" s="6" t="str">
        <f t="shared" si="17"/>
        <v>No Match</v>
      </c>
      <c r="AV61" s="14" t="s">
        <v>92</v>
      </c>
      <c r="AW61" s="6" t="str">
        <f t="shared" si="18"/>
        <v>No Match</v>
      </c>
    </row>
    <row r="62" spans="1:49" x14ac:dyDescent="0.35">
      <c r="C62" s="1" t="s">
        <v>132</v>
      </c>
      <c r="D62" s="1" t="s">
        <v>189</v>
      </c>
      <c r="E62" s="10">
        <v>46200</v>
      </c>
      <c r="F62" s="11">
        <v>0.29166666666666669</v>
      </c>
      <c r="G62" s="1" t="s">
        <v>136</v>
      </c>
      <c r="H62" s="1" t="s">
        <v>60</v>
      </c>
      <c r="I62" s="1">
        <v>61</v>
      </c>
      <c r="J62" s="1" t="s">
        <v>88</v>
      </c>
      <c r="K62" s="1" t="s">
        <v>60</v>
      </c>
      <c r="L62" s="6" t="s">
        <v>60</v>
      </c>
      <c r="M62" s="1" t="str">
        <f t="shared" si="0"/>
        <v>Matched</v>
      </c>
      <c r="N62" s="6" t="s">
        <v>60</v>
      </c>
      <c r="O62" s="1" t="str">
        <f t="shared" si="1"/>
        <v>Matched</v>
      </c>
      <c r="P62" s="6" t="s">
        <v>60</v>
      </c>
      <c r="Q62" s="1" t="str">
        <f t="shared" si="2"/>
        <v>Matched</v>
      </c>
      <c r="R62" s="1" t="s">
        <v>60</v>
      </c>
      <c r="S62" s="1" t="str">
        <f t="shared" si="3"/>
        <v>Matched</v>
      </c>
      <c r="T62" s="1" t="s">
        <v>60</v>
      </c>
      <c r="U62" s="6" t="str">
        <f t="shared" si="4"/>
        <v>Matched</v>
      </c>
      <c r="V62" s="6" t="s">
        <v>60</v>
      </c>
      <c r="W62" s="6" t="str">
        <f t="shared" si="5"/>
        <v>Matched</v>
      </c>
      <c r="X62" s="6" t="s">
        <v>60</v>
      </c>
      <c r="Y62" s="6" t="str">
        <f t="shared" si="6"/>
        <v>Matched</v>
      </c>
      <c r="Z62" s="1" t="s">
        <v>60</v>
      </c>
      <c r="AA62" s="6" t="str">
        <f t="shared" si="7"/>
        <v>Matched</v>
      </c>
      <c r="AB62" s="6" t="s">
        <v>60</v>
      </c>
      <c r="AC62" s="6" t="str">
        <f t="shared" si="8"/>
        <v>Matched</v>
      </c>
      <c r="AD62" s="6" t="s">
        <v>60</v>
      </c>
      <c r="AE62" s="6" t="str">
        <f t="shared" si="9"/>
        <v>Matched</v>
      </c>
      <c r="AF62" s="1" t="s">
        <v>60</v>
      </c>
      <c r="AG62" s="6" t="str">
        <f t="shared" si="10"/>
        <v>Matched</v>
      </c>
      <c r="AH62" s="6" t="s">
        <v>60</v>
      </c>
      <c r="AI62" s="6" t="str">
        <f t="shared" si="11"/>
        <v>Matched</v>
      </c>
      <c r="AJ62" s="12" t="s">
        <v>60</v>
      </c>
      <c r="AK62" s="6" t="str">
        <f t="shared" si="12"/>
        <v>Matched</v>
      </c>
      <c r="AL62" s="12" t="s">
        <v>60</v>
      </c>
      <c r="AM62" s="6" t="str">
        <f t="shared" si="13"/>
        <v>Matched</v>
      </c>
      <c r="AN62" s="6" t="s">
        <v>60</v>
      </c>
      <c r="AO62" s="6" t="str">
        <f t="shared" si="14"/>
        <v>Matched</v>
      </c>
      <c r="AP62" s="6" t="s">
        <v>190</v>
      </c>
      <c r="AQ62" s="6" t="str">
        <f t="shared" si="15"/>
        <v>Matched</v>
      </c>
      <c r="AR62" s="6" t="s">
        <v>60</v>
      </c>
      <c r="AS62" s="6" t="str">
        <f t="shared" si="16"/>
        <v>Matched</v>
      </c>
      <c r="AT62" s="13" t="s">
        <v>60</v>
      </c>
      <c r="AU62" s="6" t="str">
        <f t="shared" si="17"/>
        <v>Matched</v>
      </c>
      <c r="AV62" s="14" t="s">
        <v>60</v>
      </c>
      <c r="AW62" s="6" t="str">
        <f t="shared" si="18"/>
        <v>Matched</v>
      </c>
    </row>
    <row r="63" spans="1:49" x14ac:dyDescent="0.35">
      <c r="C63" s="1" t="s">
        <v>132</v>
      </c>
      <c r="D63" s="1" t="s">
        <v>189</v>
      </c>
      <c r="E63" s="10">
        <v>46200</v>
      </c>
      <c r="F63" s="11">
        <v>0.29166666666666669</v>
      </c>
      <c r="G63" s="1" t="s">
        <v>120</v>
      </c>
      <c r="H63" s="1" t="s">
        <v>135</v>
      </c>
      <c r="I63" s="1">
        <v>62</v>
      </c>
      <c r="J63" s="1" t="s">
        <v>66</v>
      </c>
      <c r="K63" s="1" t="s">
        <v>120</v>
      </c>
      <c r="L63" s="6" t="s">
        <v>59</v>
      </c>
      <c r="M63" s="1" t="str">
        <f t="shared" si="0"/>
        <v>No Match</v>
      </c>
      <c r="N63" s="1" t="s">
        <v>120</v>
      </c>
      <c r="O63" s="1" t="str">
        <f t="shared" si="1"/>
        <v>Matched</v>
      </c>
      <c r="P63" s="6" t="s">
        <v>120</v>
      </c>
      <c r="Q63" s="1" t="str">
        <f t="shared" si="2"/>
        <v>Matched</v>
      </c>
      <c r="R63" s="1" t="s">
        <v>120</v>
      </c>
      <c r="S63" s="1" t="str">
        <f t="shared" si="3"/>
        <v>Matched</v>
      </c>
      <c r="T63" s="1" t="s">
        <v>120</v>
      </c>
      <c r="U63" s="6" t="str">
        <f t="shared" si="4"/>
        <v>Matched</v>
      </c>
      <c r="V63" s="6" t="s">
        <v>120</v>
      </c>
      <c r="W63" s="6" t="str">
        <f t="shared" si="5"/>
        <v>Matched</v>
      </c>
      <c r="X63" s="6" t="s">
        <v>120</v>
      </c>
      <c r="Y63" s="6" t="str">
        <f t="shared" si="6"/>
        <v>Matched</v>
      </c>
      <c r="Z63" s="1" t="s">
        <v>120</v>
      </c>
      <c r="AA63" s="6" t="str">
        <f t="shared" si="7"/>
        <v>Matched</v>
      </c>
      <c r="AB63" s="6" t="s">
        <v>120</v>
      </c>
      <c r="AC63" s="6" t="str">
        <f t="shared" si="8"/>
        <v>Matched</v>
      </c>
      <c r="AD63" s="6" t="s">
        <v>120</v>
      </c>
      <c r="AE63" s="6" t="str">
        <f t="shared" si="9"/>
        <v>Matched</v>
      </c>
      <c r="AF63" s="1" t="s">
        <v>120</v>
      </c>
      <c r="AG63" s="6" t="str">
        <f t="shared" si="10"/>
        <v>Matched</v>
      </c>
      <c r="AH63" s="6" t="s">
        <v>120</v>
      </c>
      <c r="AI63" s="6" t="str">
        <f t="shared" si="11"/>
        <v>Matched</v>
      </c>
      <c r="AJ63" s="12" t="s">
        <v>120</v>
      </c>
      <c r="AK63" s="6" t="str">
        <f t="shared" si="12"/>
        <v>Matched</v>
      </c>
      <c r="AL63" s="12" t="s">
        <v>120</v>
      </c>
      <c r="AM63" s="6" t="str">
        <f t="shared" si="13"/>
        <v>Matched</v>
      </c>
      <c r="AN63" s="6" t="s">
        <v>120</v>
      </c>
      <c r="AO63" s="6" t="str">
        <f t="shared" si="14"/>
        <v>Matched</v>
      </c>
      <c r="AP63" s="6" t="s">
        <v>191</v>
      </c>
      <c r="AQ63" s="6" t="str">
        <f t="shared" si="15"/>
        <v>Matched</v>
      </c>
      <c r="AR63" s="6" t="s">
        <v>120</v>
      </c>
      <c r="AS63" s="6" t="str">
        <f t="shared" si="16"/>
        <v>Matched</v>
      </c>
      <c r="AT63" s="13" t="s">
        <v>120</v>
      </c>
      <c r="AU63" s="6" t="str">
        <f t="shared" si="17"/>
        <v>Matched</v>
      </c>
      <c r="AV63" s="14" t="s">
        <v>120</v>
      </c>
      <c r="AW63" s="6" t="str">
        <f t="shared" si="18"/>
        <v>Matched</v>
      </c>
    </row>
    <row r="64" spans="1:49" x14ac:dyDescent="0.35">
      <c r="C64" s="1" t="s">
        <v>116</v>
      </c>
      <c r="D64" s="1" t="s">
        <v>192</v>
      </c>
      <c r="E64" s="10">
        <v>46200</v>
      </c>
      <c r="F64" s="11">
        <v>0.5</v>
      </c>
      <c r="G64" s="1" t="s">
        <v>118</v>
      </c>
      <c r="H64" s="1" t="s">
        <v>126</v>
      </c>
      <c r="I64" s="1">
        <v>65</v>
      </c>
      <c r="J64" s="1" t="s">
        <v>101</v>
      </c>
      <c r="K64" s="1" t="s">
        <v>59</v>
      </c>
      <c r="L64" s="6" t="s">
        <v>118</v>
      </c>
      <c r="M64" s="1" t="str">
        <f t="shared" si="0"/>
        <v>No Match</v>
      </c>
      <c r="N64" s="1" t="s">
        <v>59</v>
      </c>
      <c r="O64" s="1" t="str">
        <f t="shared" si="1"/>
        <v>Matched</v>
      </c>
      <c r="P64" s="6" t="s">
        <v>126</v>
      </c>
      <c r="Q64" s="1" t="str">
        <f t="shared" si="2"/>
        <v>No Match</v>
      </c>
      <c r="R64" s="6" t="s">
        <v>59</v>
      </c>
      <c r="S64" s="1" t="str">
        <f t="shared" si="3"/>
        <v>Matched</v>
      </c>
      <c r="T64" s="1" t="s">
        <v>118</v>
      </c>
      <c r="U64" s="6" t="str">
        <f t="shared" si="4"/>
        <v>No Match</v>
      </c>
      <c r="V64" s="6" t="s">
        <v>126</v>
      </c>
      <c r="W64" s="6" t="str">
        <f t="shared" si="5"/>
        <v>No Match</v>
      </c>
      <c r="X64" s="6" t="s">
        <v>59</v>
      </c>
      <c r="Y64" s="6" t="str">
        <f t="shared" si="6"/>
        <v>Matched</v>
      </c>
      <c r="Z64" s="1" t="s">
        <v>126</v>
      </c>
      <c r="AA64" s="6" t="str">
        <f t="shared" si="7"/>
        <v>No Match</v>
      </c>
      <c r="AB64" s="6" t="s">
        <v>126</v>
      </c>
      <c r="AC64" s="6" t="str">
        <f t="shared" si="8"/>
        <v>No Match</v>
      </c>
      <c r="AD64" s="6" t="s">
        <v>126</v>
      </c>
      <c r="AE64" s="6" t="str">
        <f t="shared" si="9"/>
        <v>No Match</v>
      </c>
      <c r="AF64" s="1" t="s">
        <v>118</v>
      </c>
      <c r="AG64" s="6" t="str">
        <f t="shared" si="10"/>
        <v>No Match</v>
      </c>
      <c r="AH64" s="6" t="s">
        <v>59</v>
      </c>
      <c r="AI64" s="6" t="str">
        <f t="shared" si="11"/>
        <v>Matched</v>
      </c>
      <c r="AJ64" s="6" t="s">
        <v>59</v>
      </c>
      <c r="AK64" s="6" t="str">
        <f t="shared" si="12"/>
        <v>Matched</v>
      </c>
      <c r="AL64" s="12" t="s">
        <v>126</v>
      </c>
      <c r="AM64" s="6" t="str">
        <f t="shared" si="13"/>
        <v>No Match</v>
      </c>
      <c r="AN64" s="6" t="s">
        <v>59</v>
      </c>
      <c r="AO64" s="6" t="str">
        <f t="shared" si="14"/>
        <v>Matched</v>
      </c>
      <c r="AP64" s="6" t="s">
        <v>126</v>
      </c>
      <c r="AQ64" s="6" t="str">
        <f t="shared" si="15"/>
        <v>No Match</v>
      </c>
      <c r="AR64" s="6" t="s">
        <v>118</v>
      </c>
      <c r="AS64" s="6" t="str">
        <f t="shared" si="16"/>
        <v>No Match</v>
      </c>
      <c r="AT64" s="13" t="s">
        <v>126</v>
      </c>
      <c r="AU64" s="6" t="str">
        <f t="shared" si="17"/>
        <v>No Match</v>
      </c>
      <c r="AV64" s="14" t="s">
        <v>126</v>
      </c>
      <c r="AW64" s="6" t="str">
        <f t="shared" si="18"/>
        <v>No Match</v>
      </c>
    </row>
    <row r="65" spans="3:49" x14ac:dyDescent="0.35">
      <c r="C65" s="1" t="s">
        <v>116</v>
      </c>
      <c r="D65" s="1" t="s">
        <v>192</v>
      </c>
      <c r="E65" s="10">
        <v>46200</v>
      </c>
      <c r="F65" s="11">
        <v>0.5</v>
      </c>
      <c r="G65" s="1" t="s">
        <v>127</v>
      </c>
      <c r="H65" s="1" t="s">
        <v>54</v>
      </c>
      <c r="I65" s="1">
        <v>66</v>
      </c>
      <c r="J65" s="1" t="s">
        <v>58</v>
      </c>
      <c r="K65" s="1" t="s">
        <v>54</v>
      </c>
      <c r="L65" s="6" t="s">
        <v>54</v>
      </c>
      <c r="M65" s="1" t="str">
        <f t="shared" si="0"/>
        <v>Matched</v>
      </c>
      <c r="N65" s="1" t="s">
        <v>54</v>
      </c>
      <c r="O65" s="1" t="str">
        <f t="shared" si="1"/>
        <v>Matched</v>
      </c>
      <c r="P65" s="6" t="s">
        <v>54</v>
      </c>
      <c r="Q65" s="1" t="str">
        <f t="shared" si="2"/>
        <v>Matched</v>
      </c>
      <c r="R65" s="1" t="s">
        <v>54</v>
      </c>
      <c r="S65" s="1" t="str">
        <f t="shared" si="3"/>
        <v>Matched</v>
      </c>
      <c r="T65" s="1" t="s">
        <v>127</v>
      </c>
      <c r="U65" s="6" t="str">
        <f t="shared" si="4"/>
        <v>No Match</v>
      </c>
      <c r="V65" s="6" t="s">
        <v>54</v>
      </c>
      <c r="W65" s="6" t="str">
        <f t="shared" si="5"/>
        <v>Matched</v>
      </c>
      <c r="X65" s="6" t="s">
        <v>54</v>
      </c>
      <c r="Y65" s="6" t="str">
        <f t="shared" si="6"/>
        <v>Matched</v>
      </c>
      <c r="Z65" s="1" t="s">
        <v>54</v>
      </c>
      <c r="AA65" s="6" t="str">
        <f t="shared" si="7"/>
        <v>Matched</v>
      </c>
      <c r="AB65" s="6" t="s">
        <v>54</v>
      </c>
      <c r="AC65" s="6" t="str">
        <f t="shared" si="8"/>
        <v>Matched</v>
      </c>
      <c r="AD65" s="6" t="s">
        <v>54</v>
      </c>
      <c r="AE65" s="6" t="str">
        <f t="shared" si="9"/>
        <v>Matched</v>
      </c>
      <c r="AF65" s="1" t="s">
        <v>54</v>
      </c>
      <c r="AG65" s="6" t="str">
        <f t="shared" si="10"/>
        <v>Matched</v>
      </c>
      <c r="AH65" s="6" t="s">
        <v>54</v>
      </c>
      <c r="AI65" s="6" t="str">
        <f t="shared" si="11"/>
        <v>Matched</v>
      </c>
      <c r="AJ65" s="12" t="s">
        <v>54</v>
      </c>
      <c r="AK65" s="6" t="str">
        <f t="shared" si="12"/>
        <v>Matched</v>
      </c>
      <c r="AL65" s="12" t="s">
        <v>54</v>
      </c>
      <c r="AM65" s="6" t="str">
        <f t="shared" si="13"/>
        <v>Matched</v>
      </c>
      <c r="AN65" s="6" t="s">
        <v>59</v>
      </c>
      <c r="AO65" s="6" t="str">
        <f t="shared" si="14"/>
        <v>No Match</v>
      </c>
      <c r="AP65" s="6" t="s">
        <v>54</v>
      </c>
      <c r="AQ65" s="6" t="str">
        <f t="shared" si="15"/>
        <v>Matched</v>
      </c>
      <c r="AR65" s="6" t="s">
        <v>54</v>
      </c>
      <c r="AS65" s="6" t="str">
        <f t="shared" si="16"/>
        <v>Matched</v>
      </c>
      <c r="AT65" s="13" t="s">
        <v>54</v>
      </c>
      <c r="AU65" s="6" t="str">
        <f t="shared" si="17"/>
        <v>Matched</v>
      </c>
      <c r="AV65" s="14" t="s">
        <v>54</v>
      </c>
      <c r="AW65" s="6" t="str">
        <f t="shared" si="18"/>
        <v>Matched</v>
      </c>
    </row>
    <row r="66" spans="3:49" x14ac:dyDescent="0.35">
      <c r="C66" s="1" t="s">
        <v>121</v>
      </c>
      <c r="D66" s="1" t="s">
        <v>193</v>
      </c>
      <c r="E66" s="10">
        <v>46200</v>
      </c>
      <c r="F66" s="11">
        <v>0.625</v>
      </c>
      <c r="G66" s="1" t="s">
        <v>123</v>
      </c>
      <c r="H66" s="1" t="s">
        <v>130</v>
      </c>
      <c r="I66" s="1">
        <v>63</v>
      </c>
      <c r="J66" s="1" t="s">
        <v>124</v>
      </c>
      <c r="K66" s="1" t="s">
        <v>59</v>
      </c>
      <c r="L66" s="6" t="s">
        <v>123</v>
      </c>
      <c r="M66" s="1" t="str">
        <f t="shared" si="0"/>
        <v>No Match</v>
      </c>
      <c r="N66" s="1" t="s">
        <v>123</v>
      </c>
      <c r="O66" s="1" t="str">
        <f t="shared" si="1"/>
        <v>No Match</v>
      </c>
      <c r="P66" s="6" t="s">
        <v>130</v>
      </c>
      <c r="Q66" s="1" t="str">
        <f t="shared" si="2"/>
        <v>No Match</v>
      </c>
      <c r="R66" s="6" t="s">
        <v>59</v>
      </c>
      <c r="S66" s="1" t="str">
        <f t="shared" si="3"/>
        <v>Matched</v>
      </c>
      <c r="T66" s="1" t="s">
        <v>130</v>
      </c>
      <c r="U66" s="6" t="str">
        <f t="shared" si="4"/>
        <v>No Match</v>
      </c>
      <c r="V66" s="1" t="s">
        <v>123</v>
      </c>
      <c r="W66" s="6" t="str">
        <f t="shared" si="5"/>
        <v>No Match</v>
      </c>
      <c r="X66" s="6" t="s">
        <v>59</v>
      </c>
      <c r="Y66" s="6" t="str">
        <f t="shared" si="6"/>
        <v>Matched</v>
      </c>
      <c r="Z66" s="1" t="s">
        <v>123</v>
      </c>
      <c r="AA66" s="6" t="str">
        <f t="shared" si="7"/>
        <v>No Match</v>
      </c>
      <c r="AB66" s="6" t="s">
        <v>123</v>
      </c>
      <c r="AC66" s="6" t="str">
        <f t="shared" si="8"/>
        <v>No Match</v>
      </c>
      <c r="AD66" s="6" t="s">
        <v>123</v>
      </c>
      <c r="AE66" s="6" t="str">
        <f t="shared" si="9"/>
        <v>No Match</v>
      </c>
      <c r="AF66" s="1" t="s">
        <v>123</v>
      </c>
      <c r="AG66" s="6" t="str">
        <f t="shared" si="10"/>
        <v>No Match</v>
      </c>
      <c r="AH66" s="6" t="s">
        <v>123</v>
      </c>
      <c r="AI66" s="6" t="str">
        <f t="shared" si="11"/>
        <v>No Match</v>
      </c>
      <c r="AJ66" s="6" t="s">
        <v>130</v>
      </c>
      <c r="AK66" s="6" t="str">
        <f t="shared" si="12"/>
        <v>No Match</v>
      </c>
      <c r="AL66" s="12" t="s">
        <v>123</v>
      </c>
      <c r="AM66" s="6" t="str">
        <f t="shared" si="13"/>
        <v>No Match</v>
      </c>
      <c r="AN66" s="6" t="s">
        <v>59</v>
      </c>
      <c r="AO66" s="6" t="str">
        <f t="shared" si="14"/>
        <v>Matched</v>
      </c>
      <c r="AP66" s="6" t="s">
        <v>123</v>
      </c>
      <c r="AQ66" s="6" t="str">
        <f t="shared" si="15"/>
        <v>No Match</v>
      </c>
      <c r="AR66" s="6" t="s">
        <v>123</v>
      </c>
      <c r="AS66" s="6" t="str">
        <f t="shared" si="16"/>
        <v>No Match</v>
      </c>
      <c r="AT66" s="13" t="s">
        <v>123</v>
      </c>
      <c r="AU66" s="6" t="str">
        <f t="shared" si="17"/>
        <v>No Match</v>
      </c>
      <c r="AV66" s="14" t="s">
        <v>130</v>
      </c>
      <c r="AW66" s="6" t="str">
        <f t="shared" si="18"/>
        <v>No Match</v>
      </c>
    </row>
    <row r="67" spans="3:49" x14ac:dyDescent="0.35">
      <c r="C67" s="1" t="s">
        <v>121</v>
      </c>
      <c r="D67" s="1" t="s">
        <v>193</v>
      </c>
      <c r="E67" s="10">
        <v>46200</v>
      </c>
      <c r="F67" s="11">
        <v>0.625</v>
      </c>
      <c r="G67" s="1" t="s">
        <v>131</v>
      </c>
      <c r="H67" s="1" t="s">
        <v>96</v>
      </c>
      <c r="I67" s="1">
        <v>64</v>
      </c>
      <c r="J67" s="1" t="s">
        <v>94</v>
      </c>
      <c r="K67" s="1" t="s">
        <v>96</v>
      </c>
      <c r="L67" s="6" t="s">
        <v>96</v>
      </c>
      <c r="M67" s="1" t="str">
        <f t="shared" ref="M67:M108" si="19">IF(ISBLANK(K67),"TBP",IF(L67=K67,"Matched","No Match"))</f>
        <v>Matched</v>
      </c>
      <c r="N67" s="1" t="s">
        <v>96</v>
      </c>
      <c r="O67" s="1" t="str">
        <f t="shared" ref="O67:O73" si="20">IF(ISBLANK(K67),"TBP",IF(N67=K67,"Matched","No Match"))</f>
        <v>Matched</v>
      </c>
      <c r="P67" s="6" t="s">
        <v>131</v>
      </c>
      <c r="Q67" s="1" t="str">
        <f t="shared" ref="Q67:Q73" si="21">IF(ISBLANK(K67),"TBP",IF(P67=K67,"Matched","No Match"))</f>
        <v>No Match</v>
      </c>
      <c r="R67" s="1" t="s">
        <v>96</v>
      </c>
      <c r="S67" s="1" t="str">
        <f t="shared" ref="S67:S73" si="22">IF(ISBLANK(K67),"TBP",IF(R67=K67,"Matched","No Match"))</f>
        <v>Matched</v>
      </c>
      <c r="T67" s="1" t="s">
        <v>96</v>
      </c>
      <c r="U67" s="6" t="str">
        <f t="shared" ref="U67:U73" si="23">IF(ISBLANK(K67),"TBP",IF(T67=K67,"Matched","No Match"))</f>
        <v>Matched</v>
      </c>
      <c r="V67" s="6" t="s">
        <v>96</v>
      </c>
      <c r="W67" s="6" t="str">
        <f t="shared" ref="W67:W73" si="24">IF(ISBLANK(K67),"TBP",IF(V67=K67,"Matched","No Match"))</f>
        <v>Matched</v>
      </c>
      <c r="X67" s="1" t="s">
        <v>96</v>
      </c>
      <c r="Y67" s="6" t="str">
        <f t="shared" ref="Y67:Y73" si="25">IF(ISBLANK(K67),"TBP",IF(X67=K67,"Matched","No Match"))</f>
        <v>Matched</v>
      </c>
      <c r="Z67" s="1" t="s">
        <v>131</v>
      </c>
      <c r="AA67" s="6" t="str">
        <f t="shared" ref="AA67:AA73" si="26">IF(ISBLANK(K67),"TBP",IF(Z67=K67,"Matched","No Match"))</f>
        <v>No Match</v>
      </c>
      <c r="AB67" s="6" t="s">
        <v>96</v>
      </c>
      <c r="AC67" s="6" t="str">
        <f t="shared" ref="AC67:AC73" si="27">IF(ISBLANK(K67),"TBP",IF(AB67=K67,"Matched","No Match"))</f>
        <v>Matched</v>
      </c>
      <c r="AD67" s="6" t="s">
        <v>96</v>
      </c>
      <c r="AE67" s="6" t="str">
        <f t="shared" ref="AE67:AE73" si="28">IF(ISBLANK(K67),"TBP",IF(AD67=K67,"Matched","No Match"))</f>
        <v>Matched</v>
      </c>
      <c r="AF67" s="1" t="s">
        <v>96</v>
      </c>
      <c r="AG67" s="6" t="str">
        <f t="shared" ref="AG67:AG73" si="29">IF(ISBLANK(K67),"TBP",IF(AF67=K67,"Matched","No Match"))</f>
        <v>Matched</v>
      </c>
      <c r="AH67" s="6" t="s">
        <v>96</v>
      </c>
      <c r="AI67" s="6" t="str">
        <f t="shared" ref="AI67:AI73" si="30">IF(ISBLANK(K67),"TBP",IF(AH67=K67,"Matched","No Match"))</f>
        <v>Matched</v>
      </c>
      <c r="AJ67" s="12" t="s">
        <v>96</v>
      </c>
      <c r="AK67" s="6" t="str">
        <f t="shared" ref="AK67:AK73" si="31">IF(ISBLANK(K67),"TBP",IF(AJ67=K67,"Matched","No Match"))</f>
        <v>Matched</v>
      </c>
      <c r="AL67" s="12" t="s">
        <v>96</v>
      </c>
      <c r="AM67" s="6" t="str">
        <f t="shared" ref="AM67:AM73" si="32">IF(ISBLANK(K67),"TBP",IF(AL67=K67,"Matched","No Match"))</f>
        <v>Matched</v>
      </c>
      <c r="AN67" s="6" t="s">
        <v>96</v>
      </c>
      <c r="AO67" s="6" t="str">
        <f t="shared" ref="AO67:AO73" si="33">IF(ISBLANK(K67),"TBP",IF(AN67=K67,"Matched","No Match"))</f>
        <v>Matched</v>
      </c>
      <c r="AP67" s="6" t="s">
        <v>96</v>
      </c>
      <c r="AQ67" s="6" t="str">
        <f t="shared" ref="AQ67:AQ73" si="34">IF(ISBLANK(K67),"TBP",IF(AP67=K67,"Matched","No Match"))</f>
        <v>Matched</v>
      </c>
      <c r="AR67" s="6" t="s">
        <v>96</v>
      </c>
      <c r="AS67" s="6" t="str">
        <f t="shared" ref="AS67:AS73" si="35">IF(ISBLANK(G67),"TBP",IF(AR67=K67,"Matched","No Match"))</f>
        <v>Matched</v>
      </c>
      <c r="AT67" s="13" t="s">
        <v>96</v>
      </c>
      <c r="AU67" s="6" t="str">
        <f t="shared" ref="AU67:AU73" si="36">IF(ISBLANK(K67),"TBP",IF(AT67=K67,"Matched","No Match"))</f>
        <v>Matched</v>
      </c>
      <c r="AV67" s="14" t="s">
        <v>96</v>
      </c>
      <c r="AW67" s="6" t="str">
        <f t="shared" ref="AW67:AW73" si="37">IF(ISBLANK(K67),"TBP",IF(AV67=K67,"Matched","No Match"))</f>
        <v>Matched</v>
      </c>
    </row>
    <row r="68" spans="3:49" x14ac:dyDescent="0.35">
      <c r="C68" s="1" t="s">
        <v>148</v>
      </c>
      <c r="D68" s="1" t="s">
        <v>194</v>
      </c>
      <c r="E68" s="10">
        <v>46201</v>
      </c>
      <c r="F68" s="11">
        <v>0.375</v>
      </c>
      <c r="G68" s="1" t="s">
        <v>152</v>
      </c>
      <c r="H68" s="1" t="s">
        <v>67</v>
      </c>
      <c r="I68" s="1">
        <v>67</v>
      </c>
      <c r="J68" s="1" t="s">
        <v>84</v>
      </c>
      <c r="K68" s="1" t="s">
        <v>67</v>
      </c>
      <c r="L68" s="6" t="s">
        <v>67</v>
      </c>
      <c r="M68" s="1" t="str">
        <f t="shared" si="19"/>
        <v>Matched</v>
      </c>
      <c r="N68" s="1" t="s">
        <v>67</v>
      </c>
      <c r="O68" s="1" t="str">
        <f t="shared" si="20"/>
        <v>Matched</v>
      </c>
      <c r="P68" s="6" t="s">
        <v>67</v>
      </c>
      <c r="Q68" s="1" t="str">
        <f t="shared" si="21"/>
        <v>Matched</v>
      </c>
      <c r="R68" s="1" t="s">
        <v>67</v>
      </c>
      <c r="S68" s="1" t="str">
        <f t="shared" si="22"/>
        <v>Matched</v>
      </c>
      <c r="T68" s="1" t="s">
        <v>152</v>
      </c>
      <c r="U68" s="6" t="str">
        <f t="shared" si="23"/>
        <v>No Match</v>
      </c>
      <c r="V68" s="6" t="s">
        <v>67</v>
      </c>
      <c r="W68" s="6" t="str">
        <f t="shared" si="24"/>
        <v>Matched</v>
      </c>
      <c r="X68" s="1" t="s">
        <v>67</v>
      </c>
      <c r="Y68" s="6" t="str">
        <f t="shared" si="25"/>
        <v>Matched</v>
      </c>
      <c r="Z68" s="1" t="s">
        <v>67</v>
      </c>
      <c r="AA68" s="6" t="str">
        <f t="shared" si="26"/>
        <v>Matched</v>
      </c>
      <c r="AB68" s="6" t="s">
        <v>67</v>
      </c>
      <c r="AC68" s="6" t="str">
        <f t="shared" si="27"/>
        <v>Matched</v>
      </c>
      <c r="AD68" s="6" t="s">
        <v>67</v>
      </c>
      <c r="AE68" s="6" t="str">
        <f t="shared" si="28"/>
        <v>Matched</v>
      </c>
      <c r="AF68" s="1" t="s">
        <v>67</v>
      </c>
      <c r="AG68" s="6" t="str">
        <f t="shared" si="29"/>
        <v>Matched</v>
      </c>
      <c r="AH68" s="6" t="s">
        <v>67</v>
      </c>
      <c r="AI68" s="6" t="str">
        <f t="shared" si="30"/>
        <v>Matched</v>
      </c>
      <c r="AJ68" s="12" t="s">
        <v>67</v>
      </c>
      <c r="AK68" s="6" t="str">
        <f t="shared" si="31"/>
        <v>Matched</v>
      </c>
      <c r="AL68" s="12" t="s">
        <v>67</v>
      </c>
      <c r="AM68" s="6" t="str">
        <f t="shared" si="32"/>
        <v>Matched</v>
      </c>
      <c r="AN68" s="6" t="s">
        <v>67</v>
      </c>
      <c r="AO68" s="6" t="str">
        <f t="shared" si="33"/>
        <v>Matched</v>
      </c>
      <c r="AP68" s="6" t="s">
        <v>67</v>
      </c>
      <c r="AQ68" s="6" t="str">
        <f t="shared" si="34"/>
        <v>Matched</v>
      </c>
      <c r="AR68" s="6" t="s">
        <v>67</v>
      </c>
      <c r="AS68" s="6" t="str">
        <f t="shared" si="35"/>
        <v>Matched</v>
      </c>
      <c r="AT68" s="13" t="s">
        <v>67</v>
      </c>
      <c r="AU68" s="6" t="str">
        <f t="shared" si="36"/>
        <v>Matched</v>
      </c>
      <c r="AV68" s="14" t="s">
        <v>67</v>
      </c>
      <c r="AW68" s="6" t="str">
        <f t="shared" si="37"/>
        <v>Matched</v>
      </c>
    </row>
    <row r="69" spans="3:49" x14ac:dyDescent="0.35">
      <c r="C69" s="1" t="s">
        <v>148</v>
      </c>
      <c r="D69" s="1" t="s">
        <v>194</v>
      </c>
      <c r="E69" s="10">
        <v>46201</v>
      </c>
      <c r="F69" s="11">
        <v>0.375</v>
      </c>
      <c r="G69" s="1" t="s">
        <v>106</v>
      </c>
      <c r="H69" s="1" t="s">
        <v>151</v>
      </c>
      <c r="I69" s="1">
        <v>68</v>
      </c>
      <c r="J69" s="1" t="s">
        <v>110</v>
      </c>
      <c r="K69" s="1" t="s">
        <v>106</v>
      </c>
      <c r="L69" s="6" t="s">
        <v>106</v>
      </c>
      <c r="M69" s="1" t="str">
        <f t="shared" si="19"/>
        <v>Matched</v>
      </c>
      <c r="N69" s="1" t="s">
        <v>106</v>
      </c>
      <c r="O69" s="1" t="str">
        <f t="shared" si="20"/>
        <v>Matched</v>
      </c>
      <c r="P69" s="6" t="s">
        <v>106</v>
      </c>
      <c r="Q69" s="1" t="str">
        <f t="shared" si="21"/>
        <v>Matched</v>
      </c>
      <c r="R69" s="1" t="s">
        <v>106</v>
      </c>
      <c r="S69" s="1" t="str">
        <f t="shared" si="22"/>
        <v>Matched</v>
      </c>
      <c r="T69" s="1" t="s">
        <v>106</v>
      </c>
      <c r="U69" s="6" t="str">
        <f t="shared" si="23"/>
        <v>Matched</v>
      </c>
      <c r="V69" s="6" t="s">
        <v>106</v>
      </c>
      <c r="W69" s="6" t="str">
        <f t="shared" si="24"/>
        <v>Matched</v>
      </c>
      <c r="X69" s="1" t="s">
        <v>106</v>
      </c>
      <c r="Y69" s="6" t="str">
        <f t="shared" si="25"/>
        <v>Matched</v>
      </c>
      <c r="Z69" s="1" t="s">
        <v>151</v>
      </c>
      <c r="AA69" s="6" t="str">
        <f t="shared" si="26"/>
        <v>No Match</v>
      </c>
      <c r="AB69" s="6" t="s">
        <v>106</v>
      </c>
      <c r="AC69" s="6" t="str">
        <f t="shared" si="27"/>
        <v>Matched</v>
      </c>
      <c r="AD69" s="6" t="s">
        <v>106</v>
      </c>
      <c r="AE69" s="6" t="str">
        <f t="shared" si="28"/>
        <v>Matched</v>
      </c>
      <c r="AF69" s="1" t="s">
        <v>106</v>
      </c>
      <c r="AG69" s="6" t="str">
        <f t="shared" si="29"/>
        <v>Matched</v>
      </c>
      <c r="AH69" s="6" t="s">
        <v>106</v>
      </c>
      <c r="AI69" s="6" t="str">
        <f t="shared" si="30"/>
        <v>Matched</v>
      </c>
      <c r="AJ69" s="12" t="s">
        <v>106</v>
      </c>
      <c r="AK69" s="6" t="str">
        <f t="shared" si="31"/>
        <v>Matched</v>
      </c>
      <c r="AL69" s="12" t="s">
        <v>106</v>
      </c>
      <c r="AM69" s="6" t="str">
        <f t="shared" si="32"/>
        <v>Matched</v>
      </c>
      <c r="AN69" s="6" t="s">
        <v>106</v>
      </c>
      <c r="AO69" s="6" t="str">
        <f t="shared" si="33"/>
        <v>Matched</v>
      </c>
      <c r="AP69" s="6" t="s">
        <v>106</v>
      </c>
      <c r="AQ69" s="6" t="str">
        <f t="shared" si="34"/>
        <v>Matched</v>
      </c>
      <c r="AR69" s="6" t="s">
        <v>106</v>
      </c>
      <c r="AS69" s="6" t="str">
        <f t="shared" si="35"/>
        <v>Matched</v>
      </c>
      <c r="AT69" s="13" t="s">
        <v>106</v>
      </c>
      <c r="AU69" s="6" t="str">
        <f t="shared" si="36"/>
        <v>Matched</v>
      </c>
      <c r="AV69" s="14" t="s">
        <v>106</v>
      </c>
      <c r="AW69" s="6" t="str">
        <f t="shared" si="37"/>
        <v>Matched</v>
      </c>
    </row>
    <row r="70" spans="3:49" x14ac:dyDescent="0.35">
      <c r="C70" s="1" t="s">
        <v>144</v>
      </c>
      <c r="D70" s="1" t="s">
        <v>195</v>
      </c>
      <c r="E70" s="10">
        <v>46201</v>
      </c>
      <c r="F70" s="11">
        <v>0.47916666666666669</v>
      </c>
      <c r="G70" s="1" t="s">
        <v>111</v>
      </c>
      <c r="H70" s="1" t="s">
        <v>74</v>
      </c>
      <c r="I70" s="1">
        <v>71</v>
      </c>
      <c r="J70" s="1" t="s">
        <v>128</v>
      </c>
      <c r="K70" s="1" t="s">
        <v>59</v>
      </c>
      <c r="L70" s="6" t="s">
        <v>74</v>
      </c>
      <c r="M70" s="1" t="str">
        <f t="shared" si="19"/>
        <v>No Match</v>
      </c>
      <c r="N70" s="1" t="s">
        <v>74</v>
      </c>
      <c r="O70" s="1" t="str">
        <f t="shared" si="20"/>
        <v>No Match</v>
      </c>
      <c r="P70" s="6" t="s">
        <v>74</v>
      </c>
      <c r="Q70" s="1" t="str">
        <f t="shared" si="21"/>
        <v>No Match</v>
      </c>
      <c r="R70" s="1" t="s">
        <v>74</v>
      </c>
      <c r="S70" s="1" t="str">
        <f t="shared" si="22"/>
        <v>No Match</v>
      </c>
      <c r="T70" s="1" t="s">
        <v>74</v>
      </c>
      <c r="U70" s="6" t="str">
        <f t="shared" si="23"/>
        <v>No Match</v>
      </c>
      <c r="V70" s="6" t="s">
        <v>74</v>
      </c>
      <c r="W70" s="6" t="str">
        <f t="shared" si="24"/>
        <v>No Match</v>
      </c>
      <c r="X70" s="1" t="s">
        <v>74</v>
      </c>
      <c r="Y70" s="6" t="str">
        <f t="shared" si="25"/>
        <v>No Match</v>
      </c>
      <c r="Z70" s="1" t="s">
        <v>74</v>
      </c>
      <c r="AA70" s="6" t="str">
        <f t="shared" si="26"/>
        <v>No Match</v>
      </c>
      <c r="AB70" s="6" t="s">
        <v>74</v>
      </c>
      <c r="AC70" s="6" t="str">
        <f t="shared" si="27"/>
        <v>No Match</v>
      </c>
      <c r="AD70" s="6" t="s">
        <v>74</v>
      </c>
      <c r="AE70" s="6" t="str">
        <f t="shared" si="28"/>
        <v>No Match</v>
      </c>
      <c r="AF70" s="1" t="s">
        <v>111</v>
      </c>
      <c r="AG70" s="6" t="str">
        <f t="shared" si="29"/>
        <v>No Match</v>
      </c>
      <c r="AH70" s="6" t="s">
        <v>74</v>
      </c>
      <c r="AI70" s="6" t="str">
        <f t="shared" si="30"/>
        <v>No Match</v>
      </c>
      <c r="AJ70" s="12" t="s">
        <v>74</v>
      </c>
      <c r="AK70" s="6" t="str">
        <f t="shared" si="31"/>
        <v>No Match</v>
      </c>
      <c r="AL70" s="12" t="s">
        <v>74</v>
      </c>
      <c r="AM70" s="6" t="str">
        <f t="shared" si="32"/>
        <v>No Match</v>
      </c>
      <c r="AN70" s="6" t="s">
        <v>59</v>
      </c>
      <c r="AO70" s="6" t="str">
        <f t="shared" si="33"/>
        <v>Matched</v>
      </c>
      <c r="AP70" s="6" t="s">
        <v>74</v>
      </c>
      <c r="AQ70" s="6" t="str">
        <f t="shared" si="34"/>
        <v>No Match</v>
      </c>
      <c r="AR70" s="6" t="s">
        <v>74</v>
      </c>
      <c r="AS70" s="6" t="str">
        <f t="shared" si="35"/>
        <v>No Match</v>
      </c>
      <c r="AT70" s="13" t="s">
        <v>74</v>
      </c>
      <c r="AU70" s="6" t="str">
        <f t="shared" si="36"/>
        <v>No Match</v>
      </c>
      <c r="AV70" s="14" t="s">
        <v>74</v>
      </c>
      <c r="AW70" s="6" t="str">
        <f t="shared" si="37"/>
        <v>No Match</v>
      </c>
    </row>
    <row r="71" spans="3:49" x14ac:dyDescent="0.35">
      <c r="C71" s="1" t="s">
        <v>144</v>
      </c>
      <c r="D71" s="1" t="s">
        <v>195</v>
      </c>
      <c r="E71" s="10">
        <v>46201</v>
      </c>
      <c r="F71" s="11">
        <v>0.47916666666666669</v>
      </c>
      <c r="G71" s="1" t="s">
        <v>146</v>
      </c>
      <c r="H71" s="1" t="s">
        <v>154</v>
      </c>
      <c r="I71" s="1">
        <v>72</v>
      </c>
      <c r="J71" s="1" t="s">
        <v>119</v>
      </c>
      <c r="K71" s="1" t="s">
        <v>146</v>
      </c>
      <c r="L71" s="6" t="s">
        <v>59</v>
      </c>
      <c r="M71" s="1" t="str">
        <f t="shared" si="19"/>
        <v>No Match</v>
      </c>
      <c r="N71" s="1" t="s">
        <v>146</v>
      </c>
      <c r="O71" s="1" t="str">
        <f t="shared" si="20"/>
        <v>Matched</v>
      </c>
      <c r="P71" s="6" t="s">
        <v>59</v>
      </c>
      <c r="Q71" s="1" t="str">
        <f t="shared" si="21"/>
        <v>No Match</v>
      </c>
      <c r="R71" s="6" t="s">
        <v>59</v>
      </c>
      <c r="S71" s="1" t="str">
        <f t="shared" si="22"/>
        <v>No Match</v>
      </c>
      <c r="T71" s="1" t="s">
        <v>146</v>
      </c>
      <c r="U71" s="6" t="str">
        <f t="shared" si="23"/>
        <v>Matched</v>
      </c>
      <c r="V71" s="1" t="s">
        <v>154</v>
      </c>
      <c r="W71" s="6" t="str">
        <f t="shared" si="24"/>
        <v>No Match</v>
      </c>
      <c r="X71" s="1" t="s">
        <v>154</v>
      </c>
      <c r="Y71" s="6" t="str">
        <f t="shared" si="25"/>
        <v>No Match</v>
      </c>
      <c r="Z71" s="1" t="s">
        <v>146</v>
      </c>
      <c r="AA71" s="6" t="str">
        <f t="shared" si="26"/>
        <v>Matched</v>
      </c>
      <c r="AB71" s="6" t="s">
        <v>59</v>
      </c>
      <c r="AC71" s="6" t="str">
        <f t="shared" si="27"/>
        <v>No Match</v>
      </c>
      <c r="AD71" s="6" t="s">
        <v>59</v>
      </c>
      <c r="AE71" s="6" t="str">
        <f t="shared" si="28"/>
        <v>No Match</v>
      </c>
      <c r="AF71" s="1" t="s">
        <v>146</v>
      </c>
      <c r="AG71" s="6" t="str">
        <f t="shared" si="29"/>
        <v>Matched</v>
      </c>
      <c r="AH71" s="6" t="s">
        <v>146</v>
      </c>
      <c r="AI71" s="6" t="str">
        <f t="shared" si="30"/>
        <v>Matched</v>
      </c>
      <c r="AJ71" s="6" t="s">
        <v>59</v>
      </c>
      <c r="AK71" s="6" t="str">
        <f t="shared" si="31"/>
        <v>No Match</v>
      </c>
      <c r="AL71" s="12" t="s">
        <v>146</v>
      </c>
      <c r="AM71" s="6" t="str">
        <f t="shared" si="32"/>
        <v>Matched</v>
      </c>
      <c r="AN71" s="6" t="s">
        <v>146</v>
      </c>
      <c r="AO71" s="6" t="str">
        <f t="shared" si="33"/>
        <v>Matched</v>
      </c>
      <c r="AP71" s="6" t="s">
        <v>59</v>
      </c>
      <c r="AQ71" s="6" t="str">
        <f t="shared" si="34"/>
        <v>No Match</v>
      </c>
      <c r="AR71" s="6" t="s">
        <v>146</v>
      </c>
      <c r="AS71" s="6" t="str">
        <f t="shared" si="35"/>
        <v>Matched</v>
      </c>
      <c r="AT71" s="13" t="s">
        <v>59</v>
      </c>
      <c r="AU71" s="6" t="str">
        <f t="shared" si="36"/>
        <v>No Match</v>
      </c>
      <c r="AV71" s="14" t="s">
        <v>146</v>
      </c>
      <c r="AW71" s="6" t="str">
        <f t="shared" si="37"/>
        <v>Matched</v>
      </c>
    </row>
    <row r="72" spans="3:49" x14ac:dyDescent="0.35">
      <c r="C72" s="1" t="s">
        <v>137</v>
      </c>
      <c r="D72" s="1" t="s">
        <v>196</v>
      </c>
      <c r="E72" s="10">
        <v>46201</v>
      </c>
      <c r="F72" s="6" t="s">
        <v>197</v>
      </c>
      <c r="G72" s="1" t="s">
        <v>139</v>
      </c>
      <c r="H72" s="1" t="s">
        <v>142</v>
      </c>
      <c r="I72" s="1">
        <v>69</v>
      </c>
      <c r="J72" s="1" t="s">
        <v>140</v>
      </c>
      <c r="K72" s="1" t="s">
        <v>59</v>
      </c>
      <c r="L72" s="6" t="s">
        <v>142</v>
      </c>
      <c r="M72" s="1" t="str">
        <f t="shared" si="19"/>
        <v>No Match</v>
      </c>
      <c r="N72" s="1" t="s">
        <v>142</v>
      </c>
      <c r="O72" s="1" t="str">
        <f t="shared" si="20"/>
        <v>No Match</v>
      </c>
      <c r="P72" s="6" t="s">
        <v>142</v>
      </c>
      <c r="Q72" s="1" t="str">
        <f t="shared" si="21"/>
        <v>No Match</v>
      </c>
      <c r="R72" s="1" t="s">
        <v>142</v>
      </c>
      <c r="S72" s="1" t="str">
        <f t="shared" si="22"/>
        <v>No Match</v>
      </c>
      <c r="T72" s="1" t="s">
        <v>142</v>
      </c>
      <c r="U72" s="6" t="str">
        <f t="shared" si="23"/>
        <v>No Match</v>
      </c>
      <c r="V72" s="6" t="s">
        <v>142</v>
      </c>
      <c r="W72" s="6" t="str">
        <f t="shared" si="24"/>
        <v>No Match</v>
      </c>
      <c r="X72" s="1" t="s">
        <v>142</v>
      </c>
      <c r="Y72" s="6" t="str">
        <f t="shared" si="25"/>
        <v>No Match</v>
      </c>
      <c r="Z72" s="1" t="s">
        <v>139</v>
      </c>
      <c r="AA72" s="6" t="str">
        <f t="shared" si="26"/>
        <v>No Match</v>
      </c>
      <c r="AB72" s="6" t="s">
        <v>59</v>
      </c>
      <c r="AC72" s="6" t="str">
        <f t="shared" si="27"/>
        <v>Matched</v>
      </c>
      <c r="AD72" s="6" t="s">
        <v>59</v>
      </c>
      <c r="AE72" s="6" t="str">
        <f t="shared" si="28"/>
        <v>Matched</v>
      </c>
      <c r="AF72" s="1" t="s">
        <v>139</v>
      </c>
      <c r="AG72" s="6" t="str">
        <f t="shared" si="29"/>
        <v>No Match</v>
      </c>
      <c r="AH72" s="6" t="s">
        <v>59</v>
      </c>
      <c r="AI72" s="6" t="str">
        <f t="shared" si="30"/>
        <v>Matched</v>
      </c>
      <c r="AJ72" s="6" t="s">
        <v>59</v>
      </c>
      <c r="AK72" s="6" t="str">
        <f t="shared" si="31"/>
        <v>Matched</v>
      </c>
      <c r="AL72" s="12" t="s">
        <v>142</v>
      </c>
      <c r="AM72" s="6" t="str">
        <f t="shared" si="32"/>
        <v>No Match</v>
      </c>
      <c r="AN72" s="6" t="s">
        <v>142</v>
      </c>
      <c r="AO72" s="6" t="str">
        <f t="shared" si="33"/>
        <v>No Match</v>
      </c>
      <c r="AP72" s="6" t="s">
        <v>142</v>
      </c>
      <c r="AQ72" s="6" t="str">
        <f t="shared" si="34"/>
        <v>No Match</v>
      </c>
      <c r="AR72" s="6" t="s">
        <v>59</v>
      </c>
      <c r="AS72" s="6" t="str">
        <f t="shared" si="35"/>
        <v>Matched</v>
      </c>
      <c r="AT72" s="13" t="s">
        <v>142</v>
      </c>
      <c r="AU72" s="6" t="str">
        <f t="shared" si="36"/>
        <v>No Match</v>
      </c>
      <c r="AV72" s="14" t="s">
        <v>142</v>
      </c>
      <c r="AW72" s="6" t="str">
        <f t="shared" si="37"/>
        <v>No Match</v>
      </c>
    </row>
    <row r="73" spans="3:49" x14ac:dyDescent="0.35">
      <c r="C73" s="1" t="s">
        <v>137</v>
      </c>
      <c r="D73" s="1" t="s">
        <v>196</v>
      </c>
      <c r="E73" s="10">
        <v>46201</v>
      </c>
      <c r="F73" s="6" t="s">
        <v>197</v>
      </c>
      <c r="G73" s="1" t="s">
        <v>143</v>
      </c>
      <c r="H73" s="1" t="s">
        <v>48</v>
      </c>
      <c r="I73" s="1">
        <v>70</v>
      </c>
      <c r="J73" s="1" t="s">
        <v>105</v>
      </c>
      <c r="K73" s="1" t="s">
        <v>48</v>
      </c>
      <c r="L73" s="6" t="s">
        <v>48</v>
      </c>
      <c r="M73" s="1" t="str">
        <f t="shared" si="19"/>
        <v>Matched</v>
      </c>
      <c r="N73" s="1" t="s">
        <v>48</v>
      </c>
      <c r="O73" s="1" t="str">
        <f t="shared" si="20"/>
        <v>Matched</v>
      </c>
      <c r="P73" s="6" t="s">
        <v>48</v>
      </c>
      <c r="Q73" s="1" t="str">
        <f t="shared" si="21"/>
        <v>Matched</v>
      </c>
      <c r="R73" s="1" t="s">
        <v>48</v>
      </c>
      <c r="S73" s="1" t="str">
        <f t="shared" si="22"/>
        <v>Matched</v>
      </c>
      <c r="T73" s="1" t="s">
        <v>48</v>
      </c>
      <c r="U73" s="6" t="str">
        <f t="shared" si="23"/>
        <v>Matched</v>
      </c>
      <c r="V73" s="6" t="s">
        <v>48</v>
      </c>
      <c r="W73" s="6" t="str">
        <f t="shared" si="24"/>
        <v>Matched</v>
      </c>
      <c r="X73" s="1" t="s">
        <v>48</v>
      </c>
      <c r="Y73" s="6" t="str">
        <f t="shared" si="25"/>
        <v>Matched</v>
      </c>
      <c r="Z73" s="1" t="s">
        <v>48</v>
      </c>
      <c r="AA73" s="6" t="str">
        <f t="shared" si="26"/>
        <v>Matched</v>
      </c>
      <c r="AB73" s="6" t="s">
        <v>48</v>
      </c>
      <c r="AC73" s="6" t="str">
        <f t="shared" si="27"/>
        <v>Matched</v>
      </c>
      <c r="AD73" s="6" t="s">
        <v>48</v>
      </c>
      <c r="AE73" s="6" t="str">
        <f t="shared" si="28"/>
        <v>Matched</v>
      </c>
      <c r="AF73" s="1" t="s">
        <v>48</v>
      </c>
      <c r="AG73" s="6" t="str">
        <f t="shared" si="29"/>
        <v>Matched</v>
      </c>
      <c r="AH73" s="6" t="s">
        <v>48</v>
      </c>
      <c r="AI73" s="6" t="str">
        <f t="shared" si="30"/>
        <v>Matched</v>
      </c>
      <c r="AJ73" s="12" t="s">
        <v>48</v>
      </c>
      <c r="AK73" s="6" t="str">
        <f t="shared" si="31"/>
        <v>Matched</v>
      </c>
      <c r="AL73" s="12" t="s">
        <v>48</v>
      </c>
      <c r="AM73" s="6" t="str">
        <f t="shared" si="32"/>
        <v>Matched</v>
      </c>
      <c r="AN73" s="6" t="s">
        <v>48</v>
      </c>
      <c r="AO73" s="6" t="str">
        <f t="shared" si="33"/>
        <v>Matched</v>
      </c>
      <c r="AP73" s="6" t="s">
        <v>48</v>
      </c>
      <c r="AQ73" s="6" t="str">
        <f t="shared" si="34"/>
        <v>Matched</v>
      </c>
      <c r="AR73" s="6" t="s">
        <v>48</v>
      </c>
      <c r="AS73" s="6" t="str">
        <f t="shared" si="35"/>
        <v>Matched</v>
      </c>
      <c r="AT73" s="13" t="s">
        <v>48</v>
      </c>
      <c r="AU73" s="6" t="str">
        <f t="shared" si="36"/>
        <v>Matched</v>
      </c>
      <c r="AV73" s="14" t="s">
        <v>48</v>
      </c>
      <c r="AW73" s="6" t="str">
        <f t="shared" si="37"/>
        <v>Matched</v>
      </c>
    </row>
    <row r="74" spans="3:49" x14ac:dyDescent="0.35">
      <c r="C74" s="3" t="s">
        <v>198</v>
      </c>
      <c r="D74" s="4"/>
      <c r="E74" s="19"/>
      <c r="F74" s="20"/>
      <c r="G74" s="4"/>
      <c r="H74" s="4"/>
      <c r="I74" s="4"/>
      <c r="J74" s="4"/>
      <c r="K74" s="4"/>
      <c r="L74" s="1"/>
      <c r="M74" s="5">
        <f>COUNTIF(M2:M73, "Matched")</f>
        <v>37</v>
      </c>
      <c r="N74" s="1"/>
      <c r="O74" s="5">
        <f>COUNTIF(O2:O73, "Matched")</f>
        <v>44</v>
      </c>
      <c r="P74" s="1"/>
      <c r="Q74" s="5">
        <f>COUNTIF(Q2:Q73, "Matched")</f>
        <v>41</v>
      </c>
      <c r="R74" s="1"/>
      <c r="S74" s="5">
        <f>COUNTIF(S2:S73, "Matched")</f>
        <v>43</v>
      </c>
      <c r="T74" s="1"/>
      <c r="U74" s="5">
        <f>COUNTIF(U2:U73, "Matched")</f>
        <v>41</v>
      </c>
      <c r="V74" s="1"/>
      <c r="W74" s="5">
        <f>COUNTIF(W2:W73, "Matched")</f>
        <v>44</v>
      </c>
      <c r="X74" s="1"/>
      <c r="Y74" s="5">
        <f>COUNTIF(Y2:Y73, "Matched")</f>
        <v>45</v>
      </c>
      <c r="Z74" s="1"/>
      <c r="AA74" s="5">
        <f>COUNTIF(AA2:AA73, "Matched")</f>
        <v>37</v>
      </c>
      <c r="AB74" s="1"/>
      <c r="AC74" s="5">
        <f>COUNTIF(AC2:AC73, "Matched")</f>
        <v>44</v>
      </c>
      <c r="AD74" s="1"/>
      <c r="AE74" s="5">
        <f>COUNTIF(AE2:AE73, "Matched")</f>
        <v>44</v>
      </c>
      <c r="AF74" s="1"/>
      <c r="AG74" s="5">
        <f>COUNTIF(AG2:AG73, "Matched")</f>
        <v>44</v>
      </c>
      <c r="AH74" s="1"/>
      <c r="AI74" s="5">
        <f>COUNTIF(AI2:AI73, "Matched")</f>
        <v>43</v>
      </c>
      <c r="AJ74" s="1"/>
      <c r="AK74" s="5">
        <f>COUNTIF(AK2:AK73, "Matched")</f>
        <v>42</v>
      </c>
      <c r="AL74" s="1"/>
      <c r="AM74" s="5">
        <f>COUNTIF(AM2:AM73, "Matched")</f>
        <v>46</v>
      </c>
      <c r="AN74" s="1"/>
      <c r="AO74" s="5">
        <f>COUNTIF(AO2:AO73, "Matched")</f>
        <v>46</v>
      </c>
      <c r="AP74" s="1"/>
      <c r="AQ74" s="5">
        <f>COUNTIF(AQ2:AQ73, "Matched")</f>
        <v>39</v>
      </c>
      <c r="AR74" s="1"/>
      <c r="AS74" s="5">
        <f>COUNTIF(AS2:AS73, "Matched")</f>
        <v>49</v>
      </c>
      <c r="AT74" s="1"/>
      <c r="AU74" s="5">
        <f>COUNTIF(AU2:AU73, "Matched")</f>
        <v>44</v>
      </c>
      <c r="AV74" s="1"/>
      <c r="AW74" s="5">
        <f>COUNTIF(AW2:AW73, "Matched")</f>
        <v>42</v>
      </c>
    </row>
    <row r="75" spans="3:49" x14ac:dyDescent="0.35">
      <c r="C75" s="1" t="s">
        <v>199</v>
      </c>
      <c r="D75" s="18" t="s">
        <v>200</v>
      </c>
      <c r="E75" s="36" t="s">
        <v>201</v>
      </c>
      <c r="F75" s="37">
        <v>0.29166666666666669</v>
      </c>
      <c r="G75" s="8" t="s">
        <v>52</v>
      </c>
      <c r="H75" s="1" t="s">
        <v>64</v>
      </c>
      <c r="I75" s="1">
        <v>73</v>
      </c>
      <c r="J75" s="1" t="s">
        <v>171</v>
      </c>
      <c r="K75" s="1" t="s">
        <v>202</v>
      </c>
      <c r="L75" s="6" t="s">
        <v>64</v>
      </c>
      <c r="M75" s="1" t="str">
        <f t="shared" si="19"/>
        <v>No Match</v>
      </c>
      <c r="O75" s="1" t="str">
        <f>IF(ISBLANK(K75),"TBP",IF(N75=K75,"Matched","No Match"))</f>
        <v>No Match</v>
      </c>
      <c r="P75" s="1"/>
      <c r="Q75" s="1" t="str">
        <f>IF(ISBLANK(K75),"TBP",IF(P75=K75,"Matched","No Match"))</f>
        <v>No Match</v>
      </c>
      <c r="S75" s="6" t="str">
        <f>IF(ISBLANK(K75),"TBP",IF(R75=K75,"Matched","No Match"))</f>
        <v>No Match</v>
      </c>
      <c r="U75" s="6" t="str">
        <f>IF(ISBLANK(K75),"TBP",IF(T75=K75,"Matched","No Match"))</f>
        <v>No Match</v>
      </c>
      <c r="V75" s="6" t="s">
        <v>52</v>
      </c>
      <c r="W75" s="6" t="str">
        <f>IF(ISBLANK(K75),"TBP",IF(V75=K75,"Matched","No Match"))</f>
        <v>No Match</v>
      </c>
      <c r="X75" s="6" t="s">
        <v>64</v>
      </c>
      <c r="Y75" s="6" t="str">
        <f>IF(ISBLANK(K75),"TBP",IF(X75=K75,"Matched","No Match"))</f>
        <v>No Match</v>
      </c>
      <c r="AA75" s="6" t="str">
        <f>IF(ISBLANK(K75),"TBP",IF(Z75=K75,"Matched","No Match"))</f>
        <v>No Match</v>
      </c>
      <c r="AC75" s="6" t="str">
        <f>IF(ISBLANK(K75),"TBP",IF(AB75=K75,"Matched","No Match"))</f>
        <v>No Match</v>
      </c>
      <c r="AE75" s="6" t="str">
        <f>IF(ISBLANK(K75),"TBP",IF(AD75=K75,"Matched","No Match"))</f>
        <v>No Match</v>
      </c>
      <c r="AF75" s="6" t="s">
        <v>64</v>
      </c>
      <c r="AG75" s="6" t="str">
        <f>IF(ISBLANK(K75),"TBP",IF(AF75=K75,"Matched","No Match"))</f>
        <v>No Match</v>
      </c>
      <c r="AI75" s="6" t="str">
        <f>IF(ISBLANK(K75),"TBP",IF(AH75=K75,"Matched","No Match"))</f>
        <v>No Match</v>
      </c>
      <c r="AK75" s="6" t="str">
        <f>IF(ISBLANK(K75),"TBP",IF(AJ75=K75,"Matched","No Match"))</f>
        <v>No Match</v>
      </c>
      <c r="AM75" s="6" t="str">
        <f>IF(ISBLANK(K75),"TBP",IF(AL75=K75,"Matched","No Match"))</f>
        <v>No Match</v>
      </c>
      <c r="AO75" s="6" t="str">
        <f>IF(ISBLANK(K75),"TBP",IF(AN75=K75,"Matched","No Match"))</f>
        <v>No Match</v>
      </c>
      <c r="AQ75" s="6" t="str">
        <f>IF(ISBLANK(K75),"TBP",IF(AP75=K75,"Matched","No Match"))</f>
        <v>No Match</v>
      </c>
      <c r="AS75" s="6" t="str">
        <f>IF(ISBLANK(K75),"TBP",IF(AR75=K75,"Matched","No Match"))</f>
        <v>No Match</v>
      </c>
      <c r="AT75" s="21" t="s">
        <v>64</v>
      </c>
      <c r="AU75" s="6" t="str">
        <f>IF(ISBLANK(K75),"TBP",IF(AT75=K75,"Matched","No Match"))</f>
        <v>No Match</v>
      </c>
      <c r="AW75" s="6" t="str">
        <f>IF(ISBLANK(K75),"TBP",IF(AV75=K75,"Matched","No Match"))</f>
        <v>No Match</v>
      </c>
    </row>
    <row r="76" spans="3:49" x14ac:dyDescent="0.35">
      <c r="C76" s="1" t="s">
        <v>199</v>
      </c>
      <c r="D76" s="18" t="s">
        <v>203</v>
      </c>
      <c r="E76" s="36" t="s">
        <v>204</v>
      </c>
      <c r="F76" s="37">
        <v>0.20833333333333334</v>
      </c>
      <c r="G76" s="8" t="s">
        <v>79</v>
      </c>
      <c r="H76" s="1" t="s">
        <v>104</v>
      </c>
      <c r="I76" s="1">
        <v>76</v>
      </c>
      <c r="J76" s="1" t="s">
        <v>101</v>
      </c>
      <c r="K76" s="1" t="s">
        <v>79</v>
      </c>
      <c r="L76" s="6" t="s">
        <v>79</v>
      </c>
      <c r="M76" s="1" t="str">
        <f t="shared" si="19"/>
        <v>Matched</v>
      </c>
      <c r="N76" s="6" t="s">
        <v>104</v>
      </c>
      <c r="O76" s="1" t="str">
        <f t="shared" ref="O76:O108" si="38">IF(ISBLANK(K76),"TBP",IF(N76=K76,"Matched","No Match"))</f>
        <v>No Match</v>
      </c>
      <c r="P76" s="1" t="s">
        <v>79</v>
      </c>
      <c r="Q76" s="1" t="str">
        <f t="shared" ref="Q76:Q107" si="39">IF(ISBLANK(K76),"TBP",IF(P76=K76,"Matched","No Match"))</f>
        <v>Matched</v>
      </c>
      <c r="R76" s="8" t="s">
        <v>79</v>
      </c>
      <c r="S76" s="6" t="str">
        <f t="shared" ref="S76:S108" si="40">IF(ISBLANK(K76),"TBP",IF(R76=K76,"Matched","No Match"))</f>
        <v>Matched</v>
      </c>
      <c r="T76" s="8" t="s">
        <v>79</v>
      </c>
      <c r="U76" s="6" t="str">
        <f t="shared" ref="U76:U108" si="41">IF(ISBLANK(K76),"TBP",IF(T76=K76,"Matched","No Match"))</f>
        <v>Matched</v>
      </c>
      <c r="V76" s="6" t="s">
        <v>79</v>
      </c>
      <c r="W76" s="6" t="str">
        <f t="shared" ref="W76:W108" si="42">IF(ISBLANK(K76),"TBP",IF(V76=K76,"Matched","No Match"))</f>
        <v>Matched</v>
      </c>
      <c r="X76" s="6" t="s">
        <v>79</v>
      </c>
      <c r="Y76" s="6" t="str">
        <f t="shared" ref="Y76:Y108" si="43">IF(ISBLANK(K76),"TBP",IF(X76=K76,"Matched","No Match"))</f>
        <v>Matched</v>
      </c>
      <c r="Z76" s="8" t="s">
        <v>79</v>
      </c>
      <c r="AA76" s="6" t="str">
        <f t="shared" ref="AA76:AA108" si="44">IF(ISBLANK(K76),"TBP",IF(Z76=K76,"Matched","No Match"))</f>
        <v>Matched</v>
      </c>
      <c r="AB76" s="6" t="s">
        <v>79</v>
      </c>
      <c r="AC76" s="6" t="str">
        <f t="shared" ref="AC76:AC108" si="45">IF(ISBLANK(K76),"TBP",IF(AB76=K76,"Matched","No Match"))</f>
        <v>Matched</v>
      </c>
      <c r="AD76" s="6" t="s">
        <v>79</v>
      </c>
      <c r="AE76" s="6" t="str">
        <f t="shared" ref="AE76:AE108" si="46">IF(ISBLANK(K76),"TBP",IF(AD76=K76,"Matched","No Match"))</f>
        <v>Matched</v>
      </c>
      <c r="AF76" s="6" t="s">
        <v>104</v>
      </c>
      <c r="AG76" s="6" t="str">
        <f t="shared" ref="AG76:AG108" si="47">IF(ISBLANK(K76),"TBP",IF(AF76=K76,"Matched","No Match"))</f>
        <v>No Match</v>
      </c>
      <c r="AH76" s="6" t="s">
        <v>79</v>
      </c>
      <c r="AI76" s="6" t="str">
        <f t="shared" ref="AI76:AI108" si="48">IF(ISBLANK(K76),"TBP",IF(AH76=K76,"Matched","No Match"))</f>
        <v>Matched</v>
      </c>
      <c r="AJ76" s="6" t="s">
        <v>79</v>
      </c>
      <c r="AK76" s="6" t="str">
        <f t="shared" ref="AK76:AK108" si="49">IF(ISBLANK(K76),"TBP",IF(AJ76=K76,"Matched","No Match"))</f>
        <v>Matched</v>
      </c>
      <c r="AL76" s="6" t="s">
        <v>79</v>
      </c>
      <c r="AM76" s="6" t="str">
        <f t="shared" ref="AM76:AM108" si="50">IF(ISBLANK(K76),"TBP",IF(AL76=K76,"Matched","No Match"))</f>
        <v>Matched</v>
      </c>
      <c r="AN76" s="6" t="s">
        <v>79</v>
      </c>
      <c r="AO76" s="6" t="str">
        <f t="shared" ref="AO76:AO108" si="51">IF(ISBLANK(K76),"TBP",IF(AN76=K76,"Matched","No Match"))</f>
        <v>Matched</v>
      </c>
      <c r="AP76" s="6" t="s">
        <v>79</v>
      </c>
      <c r="AQ76" s="6" t="str">
        <f t="shared" ref="AQ76:AQ108" si="52">IF(ISBLANK(K76),"TBP",IF(AP76=K76,"Matched","No Match"))</f>
        <v>Matched</v>
      </c>
      <c r="AR76" s="6" t="s">
        <v>79</v>
      </c>
      <c r="AS76" s="6" t="str">
        <f t="shared" ref="AS76:AS108" si="53">IF(ISBLANK(K76),"TBP",IF(AR76=K76,"Matched","No Match"))</f>
        <v>Matched</v>
      </c>
      <c r="AT76" s="6" t="s">
        <v>79</v>
      </c>
      <c r="AU76" s="6" t="str">
        <f t="shared" ref="AU76:AU108" si="54">IF(ISBLANK(K76),"TBP",IF(AT76=K76,"Matched","No Match"))</f>
        <v>Matched</v>
      </c>
      <c r="AV76" s="6" t="s">
        <v>79</v>
      </c>
      <c r="AW76" s="6" t="str">
        <f t="shared" ref="AW76:AW90" si="55">IF(ISBLANK(K76),"TBP",IF(AV76=K76,"Matched","No Match"))</f>
        <v>Matched</v>
      </c>
    </row>
    <row r="77" spans="3:49" x14ac:dyDescent="0.35">
      <c r="C77" s="1" t="s">
        <v>199</v>
      </c>
      <c r="D77" s="18" t="s">
        <v>205</v>
      </c>
      <c r="E77" s="36" t="s">
        <v>204</v>
      </c>
      <c r="F77" s="37">
        <v>0.35416666666666669</v>
      </c>
      <c r="G77" s="8" t="s">
        <v>99</v>
      </c>
      <c r="H77" s="1" t="s">
        <v>72</v>
      </c>
      <c r="I77" s="1">
        <v>74</v>
      </c>
      <c r="J77" s="1" t="s">
        <v>88</v>
      </c>
      <c r="K77" s="1" t="s">
        <v>72</v>
      </c>
      <c r="L77" s="6" t="s">
        <v>99</v>
      </c>
      <c r="M77" s="1" t="str">
        <f t="shared" si="19"/>
        <v>No Match</v>
      </c>
      <c r="N77" s="6" t="s">
        <v>99</v>
      </c>
      <c r="O77" s="1" t="str">
        <f t="shared" si="38"/>
        <v>No Match</v>
      </c>
      <c r="P77" s="1" t="s">
        <v>99</v>
      </c>
      <c r="Q77" s="1" t="str">
        <f t="shared" si="39"/>
        <v>No Match</v>
      </c>
      <c r="R77" s="8" t="s">
        <v>99</v>
      </c>
      <c r="S77" s="6" t="str">
        <f t="shared" si="40"/>
        <v>No Match</v>
      </c>
      <c r="T77" s="8" t="s">
        <v>99</v>
      </c>
      <c r="U77" s="6" t="str">
        <f t="shared" si="41"/>
        <v>No Match</v>
      </c>
      <c r="V77" s="6" t="s">
        <v>99</v>
      </c>
      <c r="W77" s="6" t="str">
        <f t="shared" si="42"/>
        <v>No Match</v>
      </c>
      <c r="X77" s="6" t="s">
        <v>99</v>
      </c>
      <c r="Y77" s="6" t="str">
        <f t="shared" si="43"/>
        <v>No Match</v>
      </c>
      <c r="Z77" s="8" t="s">
        <v>99</v>
      </c>
      <c r="AA77" s="6" t="str">
        <f t="shared" si="44"/>
        <v>No Match</v>
      </c>
      <c r="AB77" s="6" t="s">
        <v>99</v>
      </c>
      <c r="AC77" s="6" t="str">
        <f t="shared" si="45"/>
        <v>No Match</v>
      </c>
      <c r="AD77" s="6" t="s">
        <v>99</v>
      </c>
      <c r="AE77" s="6" t="str">
        <f t="shared" si="46"/>
        <v>No Match</v>
      </c>
      <c r="AF77" s="6" t="s">
        <v>99</v>
      </c>
      <c r="AG77" s="6" t="str">
        <f t="shared" si="47"/>
        <v>No Match</v>
      </c>
      <c r="AH77" s="6" t="s">
        <v>99</v>
      </c>
      <c r="AI77" s="6" t="str">
        <f t="shared" si="48"/>
        <v>No Match</v>
      </c>
      <c r="AJ77" s="6" t="s">
        <v>99</v>
      </c>
      <c r="AK77" s="6" t="str">
        <f t="shared" si="49"/>
        <v>No Match</v>
      </c>
      <c r="AL77" s="6" t="s">
        <v>99</v>
      </c>
      <c r="AM77" s="6" t="str">
        <f t="shared" si="50"/>
        <v>No Match</v>
      </c>
      <c r="AN77" s="6" t="s">
        <v>99</v>
      </c>
      <c r="AO77" s="6" t="str">
        <f t="shared" si="51"/>
        <v>No Match</v>
      </c>
      <c r="AP77" s="6" t="s">
        <v>72</v>
      </c>
      <c r="AQ77" s="6" t="str">
        <f t="shared" si="52"/>
        <v>Matched</v>
      </c>
      <c r="AR77" s="6" t="s">
        <v>99</v>
      </c>
      <c r="AS77" s="6" t="str">
        <f t="shared" si="53"/>
        <v>No Match</v>
      </c>
      <c r="AT77" s="6" t="s">
        <v>99</v>
      </c>
      <c r="AU77" s="6" t="str">
        <f t="shared" si="54"/>
        <v>No Match</v>
      </c>
      <c r="AV77" s="6" t="s">
        <v>99</v>
      </c>
      <c r="AW77" s="6" t="str">
        <f t="shared" si="55"/>
        <v>No Match</v>
      </c>
    </row>
    <row r="78" spans="3:49" x14ac:dyDescent="0.35">
      <c r="C78" s="1" t="s">
        <v>199</v>
      </c>
      <c r="D78" s="18" t="s">
        <v>206</v>
      </c>
      <c r="E78" s="36" t="s">
        <v>204</v>
      </c>
      <c r="F78" s="37">
        <v>0.54166666666666663</v>
      </c>
      <c r="G78" s="8" t="s">
        <v>89</v>
      </c>
      <c r="H78" s="1" t="s">
        <v>83</v>
      </c>
      <c r="I78" s="1">
        <v>75</v>
      </c>
      <c r="J78" s="1" t="s">
        <v>115</v>
      </c>
      <c r="K78" s="1" t="s">
        <v>83</v>
      </c>
      <c r="L78" s="6" t="s">
        <v>83</v>
      </c>
      <c r="M78" s="1" t="str">
        <f t="shared" si="19"/>
        <v>Matched</v>
      </c>
      <c r="N78" s="6" t="s">
        <v>89</v>
      </c>
      <c r="O78" s="1" t="str">
        <f t="shared" si="38"/>
        <v>No Match</v>
      </c>
      <c r="P78" s="1" t="s">
        <v>83</v>
      </c>
      <c r="Q78" s="1" t="str">
        <f t="shared" si="39"/>
        <v>Matched</v>
      </c>
      <c r="R78" s="8" t="s">
        <v>89</v>
      </c>
      <c r="S78" s="6" t="str">
        <f t="shared" si="40"/>
        <v>No Match</v>
      </c>
      <c r="T78" s="8" t="s">
        <v>89</v>
      </c>
      <c r="U78" s="6" t="str">
        <f t="shared" si="41"/>
        <v>No Match</v>
      </c>
      <c r="V78" s="6" t="s">
        <v>89</v>
      </c>
      <c r="W78" s="6" t="str">
        <f t="shared" si="42"/>
        <v>No Match</v>
      </c>
      <c r="X78" s="6" t="s">
        <v>89</v>
      </c>
      <c r="Y78" s="6" t="str">
        <f t="shared" si="43"/>
        <v>No Match</v>
      </c>
      <c r="Z78" s="8" t="s">
        <v>89</v>
      </c>
      <c r="AA78" s="6" t="str">
        <f t="shared" si="44"/>
        <v>No Match</v>
      </c>
      <c r="AB78" s="6" t="s">
        <v>89</v>
      </c>
      <c r="AC78" s="6" t="str">
        <f t="shared" si="45"/>
        <v>No Match</v>
      </c>
      <c r="AD78" s="6" t="s">
        <v>89</v>
      </c>
      <c r="AE78" s="6" t="str">
        <f t="shared" si="46"/>
        <v>No Match</v>
      </c>
      <c r="AF78" s="8" t="s">
        <v>89</v>
      </c>
      <c r="AG78" s="6" t="str">
        <f t="shared" si="47"/>
        <v>No Match</v>
      </c>
      <c r="AH78" s="6" t="s">
        <v>89</v>
      </c>
      <c r="AI78" s="6" t="str">
        <f t="shared" si="48"/>
        <v>No Match</v>
      </c>
      <c r="AJ78" s="6" t="s">
        <v>83</v>
      </c>
      <c r="AK78" s="6" t="str">
        <f t="shared" si="49"/>
        <v>Matched</v>
      </c>
      <c r="AL78" s="6" t="s">
        <v>89</v>
      </c>
      <c r="AM78" s="6" t="str">
        <f t="shared" si="50"/>
        <v>No Match</v>
      </c>
      <c r="AN78" s="6" t="s">
        <v>83</v>
      </c>
      <c r="AO78" s="6" t="str">
        <f t="shared" si="51"/>
        <v>Matched</v>
      </c>
      <c r="AP78" s="6" t="s">
        <v>83</v>
      </c>
      <c r="AQ78" s="6" t="str">
        <f t="shared" si="52"/>
        <v>Matched</v>
      </c>
      <c r="AR78" s="6" t="s">
        <v>89</v>
      </c>
      <c r="AS78" s="6" t="str">
        <f t="shared" si="53"/>
        <v>No Match</v>
      </c>
      <c r="AT78" s="6" t="s">
        <v>89</v>
      </c>
      <c r="AU78" s="6" t="str">
        <f t="shared" si="54"/>
        <v>No Match</v>
      </c>
      <c r="AV78" s="6" t="s">
        <v>89</v>
      </c>
      <c r="AW78" s="6" t="str">
        <f t="shared" si="55"/>
        <v>No Match</v>
      </c>
    </row>
    <row r="79" spans="3:49" x14ac:dyDescent="0.35">
      <c r="C79" s="1" t="s">
        <v>199</v>
      </c>
      <c r="D79" s="18" t="s">
        <v>207</v>
      </c>
      <c r="E79" s="36" t="s">
        <v>208</v>
      </c>
      <c r="F79" s="37">
        <v>0.20833333333333334</v>
      </c>
      <c r="G79" s="8" t="s">
        <v>108</v>
      </c>
      <c r="H79" s="1" t="s">
        <v>136</v>
      </c>
      <c r="I79" s="1">
        <v>78</v>
      </c>
      <c r="J79" s="1" t="s">
        <v>105</v>
      </c>
      <c r="K79" s="1" t="s">
        <v>136</v>
      </c>
      <c r="L79" s="6" t="s">
        <v>108</v>
      </c>
      <c r="M79" s="1" t="str">
        <f t="shared" si="19"/>
        <v>No Match</v>
      </c>
      <c r="N79" s="6" t="s">
        <v>136</v>
      </c>
      <c r="O79" s="1" t="str">
        <f t="shared" si="38"/>
        <v>Matched</v>
      </c>
      <c r="P79" s="1" t="s">
        <v>108</v>
      </c>
      <c r="Q79" s="1" t="str">
        <f t="shared" si="39"/>
        <v>No Match</v>
      </c>
      <c r="R79" s="1" t="s">
        <v>136</v>
      </c>
      <c r="S79" s="6" t="str">
        <f t="shared" si="40"/>
        <v>Matched</v>
      </c>
      <c r="T79" s="8" t="s">
        <v>108</v>
      </c>
      <c r="U79" s="6" t="str">
        <f t="shared" si="41"/>
        <v>No Match</v>
      </c>
      <c r="V79" s="6" t="s">
        <v>108</v>
      </c>
      <c r="W79" s="6" t="str">
        <f t="shared" si="42"/>
        <v>No Match</v>
      </c>
      <c r="X79" s="6" t="s">
        <v>108</v>
      </c>
      <c r="Y79" s="6" t="str">
        <f t="shared" si="43"/>
        <v>No Match</v>
      </c>
      <c r="Z79" s="1" t="s">
        <v>136</v>
      </c>
      <c r="AA79" s="6" t="str">
        <f t="shared" si="44"/>
        <v>Matched</v>
      </c>
      <c r="AB79" s="6" t="s">
        <v>136</v>
      </c>
      <c r="AC79" s="6" t="str">
        <f t="shared" si="45"/>
        <v>Matched</v>
      </c>
      <c r="AD79" s="6" t="s">
        <v>136</v>
      </c>
      <c r="AE79" s="6" t="str">
        <f t="shared" si="46"/>
        <v>Matched</v>
      </c>
      <c r="AF79" s="1" t="s">
        <v>136</v>
      </c>
      <c r="AG79" s="6" t="str">
        <f t="shared" si="47"/>
        <v>Matched</v>
      </c>
      <c r="AH79" s="6" t="s">
        <v>136</v>
      </c>
      <c r="AI79" s="6" t="str">
        <f t="shared" si="48"/>
        <v>Matched</v>
      </c>
      <c r="AJ79" s="6" t="s">
        <v>136</v>
      </c>
      <c r="AK79" s="6" t="str">
        <f t="shared" si="49"/>
        <v>Matched</v>
      </c>
      <c r="AL79" s="6" t="s">
        <v>136</v>
      </c>
      <c r="AM79" s="6" t="str">
        <f t="shared" si="50"/>
        <v>Matched</v>
      </c>
      <c r="AN79" s="6" t="s">
        <v>136</v>
      </c>
      <c r="AO79" s="6" t="str">
        <f t="shared" si="51"/>
        <v>Matched</v>
      </c>
      <c r="AP79" s="6" t="s">
        <v>136</v>
      </c>
      <c r="AQ79" s="6" t="str">
        <f t="shared" si="52"/>
        <v>Matched</v>
      </c>
      <c r="AR79" s="6" t="s">
        <v>136</v>
      </c>
      <c r="AS79" s="6" t="str">
        <f t="shared" si="53"/>
        <v>Matched</v>
      </c>
      <c r="AT79" s="6" t="s">
        <v>136</v>
      </c>
      <c r="AU79" s="6" t="str">
        <f t="shared" si="54"/>
        <v>Matched</v>
      </c>
      <c r="AV79" s="6" t="s">
        <v>136</v>
      </c>
      <c r="AW79" s="6" t="str">
        <f t="shared" si="55"/>
        <v>Matched</v>
      </c>
    </row>
    <row r="80" spans="3:49" x14ac:dyDescent="0.35">
      <c r="C80" s="1" t="s">
        <v>199</v>
      </c>
      <c r="D80" s="18" t="s">
        <v>209</v>
      </c>
      <c r="E80" s="36" t="s">
        <v>208</v>
      </c>
      <c r="F80" s="37">
        <v>0.375</v>
      </c>
      <c r="G80" s="8" t="s">
        <v>60</v>
      </c>
      <c r="H80" s="1" t="s">
        <v>113</v>
      </c>
      <c r="I80" s="1">
        <v>77</v>
      </c>
      <c r="J80" s="1" t="s">
        <v>84</v>
      </c>
      <c r="K80" s="1" t="s">
        <v>60</v>
      </c>
      <c r="L80" s="6" t="s">
        <v>60</v>
      </c>
      <c r="M80" s="1" t="str">
        <f t="shared" si="19"/>
        <v>Matched</v>
      </c>
      <c r="N80" s="6" t="s">
        <v>60</v>
      </c>
      <c r="O80" s="1" t="str">
        <f t="shared" si="38"/>
        <v>Matched</v>
      </c>
      <c r="P80" s="1" t="s">
        <v>60</v>
      </c>
      <c r="Q80" s="1" t="str">
        <f t="shared" si="39"/>
        <v>Matched</v>
      </c>
      <c r="R80" s="8" t="s">
        <v>60</v>
      </c>
      <c r="S80" s="6" t="str">
        <f t="shared" si="40"/>
        <v>Matched</v>
      </c>
      <c r="T80" s="8" t="s">
        <v>60</v>
      </c>
      <c r="U80" s="6" t="str">
        <f t="shared" si="41"/>
        <v>Matched</v>
      </c>
      <c r="V80" s="6" t="s">
        <v>60</v>
      </c>
      <c r="W80" s="6" t="str">
        <f t="shared" si="42"/>
        <v>Matched</v>
      </c>
      <c r="X80" s="6" t="s">
        <v>60</v>
      </c>
      <c r="Y80" s="6" t="str">
        <f t="shared" si="43"/>
        <v>Matched</v>
      </c>
      <c r="Z80" s="8" t="s">
        <v>60</v>
      </c>
      <c r="AA80" s="6" t="str">
        <f t="shared" si="44"/>
        <v>Matched</v>
      </c>
      <c r="AB80" s="6" t="s">
        <v>60</v>
      </c>
      <c r="AC80" s="6" t="str">
        <f t="shared" si="45"/>
        <v>Matched</v>
      </c>
      <c r="AD80" s="6" t="s">
        <v>60</v>
      </c>
      <c r="AE80" s="6" t="str">
        <f t="shared" si="46"/>
        <v>Matched</v>
      </c>
      <c r="AF80" s="1" t="s">
        <v>60</v>
      </c>
      <c r="AG80" s="6" t="str">
        <f t="shared" si="47"/>
        <v>Matched</v>
      </c>
      <c r="AH80" s="6" t="s">
        <v>60</v>
      </c>
      <c r="AI80" s="6" t="str">
        <f t="shared" si="48"/>
        <v>Matched</v>
      </c>
      <c r="AJ80" s="6" t="s">
        <v>60</v>
      </c>
      <c r="AK80" s="6" t="str">
        <f t="shared" si="49"/>
        <v>Matched</v>
      </c>
      <c r="AL80" s="6" t="s">
        <v>60</v>
      </c>
      <c r="AM80" s="6" t="str">
        <f t="shared" si="50"/>
        <v>Matched</v>
      </c>
      <c r="AN80" s="6" t="s">
        <v>60</v>
      </c>
      <c r="AO80" s="6" t="str">
        <f t="shared" si="51"/>
        <v>Matched</v>
      </c>
      <c r="AP80" s="6" t="s">
        <v>113</v>
      </c>
      <c r="AQ80" s="6" t="str">
        <f t="shared" si="52"/>
        <v>No Match</v>
      </c>
      <c r="AR80" s="6" t="s">
        <v>60</v>
      </c>
      <c r="AS80" s="6" t="str">
        <f t="shared" si="53"/>
        <v>Matched</v>
      </c>
      <c r="AT80" s="6" t="s">
        <v>60</v>
      </c>
      <c r="AU80" s="6" t="str">
        <f t="shared" si="54"/>
        <v>Matched</v>
      </c>
      <c r="AV80" s="6" t="s">
        <v>60</v>
      </c>
      <c r="AW80" s="6" t="str">
        <f t="shared" si="55"/>
        <v>Matched</v>
      </c>
    </row>
    <row r="81" spans="3:49" x14ac:dyDescent="0.35">
      <c r="C81" s="1" t="s">
        <v>199</v>
      </c>
      <c r="D81" s="18" t="s">
        <v>210</v>
      </c>
      <c r="E81" s="36" t="s">
        <v>208</v>
      </c>
      <c r="F81" s="37">
        <v>0.54166666666666663</v>
      </c>
      <c r="G81" s="8" t="s">
        <v>51</v>
      </c>
      <c r="H81" s="1" t="s">
        <v>109</v>
      </c>
      <c r="I81" s="1">
        <v>79</v>
      </c>
      <c r="J81" s="1" t="s">
        <v>53</v>
      </c>
      <c r="K81" s="1" t="s">
        <v>51</v>
      </c>
      <c r="L81" s="1" t="s">
        <v>109</v>
      </c>
      <c r="M81" s="1" t="str">
        <f t="shared" si="19"/>
        <v>No Match</v>
      </c>
      <c r="N81" s="6" t="s">
        <v>51</v>
      </c>
      <c r="O81" s="1" t="str">
        <f t="shared" si="38"/>
        <v>Matched</v>
      </c>
      <c r="P81" s="1" t="s">
        <v>51</v>
      </c>
      <c r="Q81" s="1" t="str">
        <f t="shared" si="39"/>
        <v>Matched</v>
      </c>
      <c r="R81" s="8" t="s">
        <v>51</v>
      </c>
      <c r="S81" s="6" t="str">
        <f t="shared" si="40"/>
        <v>Matched</v>
      </c>
      <c r="T81" s="8" t="s">
        <v>51</v>
      </c>
      <c r="U81" s="6" t="str">
        <f t="shared" si="41"/>
        <v>Matched</v>
      </c>
      <c r="V81" s="6" t="s">
        <v>51</v>
      </c>
      <c r="W81" s="6" t="str">
        <f t="shared" si="42"/>
        <v>Matched</v>
      </c>
      <c r="X81" s="6" t="s">
        <v>109</v>
      </c>
      <c r="Y81" s="6" t="str">
        <f t="shared" si="43"/>
        <v>No Match</v>
      </c>
      <c r="Z81" s="8" t="s">
        <v>51</v>
      </c>
      <c r="AA81" s="6" t="str">
        <f t="shared" si="44"/>
        <v>Matched</v>
      </c>
      <c r="AB81" s="6" t="s">
        <v>51</v>
      </c>
      <c r="AC81" s="6" t="str">
        <f t="shared" si="45"/>
        <v>Matched</v>
      </c>
      <c r="AD81" s="6" t="s">
        <v>51</v>
      </c>
      <c r="AE81" s="6" t="str">
        <f t="shared" si="46"/>
        <v>Matched</v>
      </c>
      <c r="AF81" s="6" t="s">
        <v>51</v>
      </c>
      <c r="AG81" s="6" t="str">
        <f t="shared" si="47"/>
        <v>Matched</v>
      </c>
      <c r="AH81" s="6" t="s">
        <v>51</v>
      </c>
      <c r="AI81" s="6" t="str">
        <f t="shared" si="48"/>
        <v>Matched</v>
      </c>
      <c r="AJ81" s="6" t="s">
        <v>51</v>
      </c>
      <c r="AK81" s="6" t="str">
        <f t="shared" si="49"/>
        <v>Matched</v>
      </c>
      <c r="AL81" s="6" t="s">
        <v>51</v>
      </c>
      <c r="AM81" s="6" t="str">
        <f t="shared" si="50"/>
        <v>Matched</v>
      </c>
      <c r="AN81" s="6" t="s">
        <v>51</v>
      </c>
      <c r="AO81" s="6" t="str">
        <f t="shared" si="51"/>
        <v>Matched</v>
      </c>
      <c r="AP81" s="6" t="s">
        <v>51</v>
      </c>
      <c r="AQ81" s="6" t="str">
        <f t="shared" si="52"/>
        <v>Matched</v>
      </c>
      <c r="AR81" s="6" t="s">
        <v>51</v>
      </c>
      <c r="AS81" s="6" t="str">
        <f t="shared" si="53"/>
        <v>Matched</v>
      </c>
      <c r="AT81" s="6" t="s">
        <v>109</v>
      </c>
      <c r="AU81" s="6" t="str">
        <f t="shared" si="54"/>
        <v>No Match</v>
      </c>
      <c r="AV81" s="6" t="s">
        <v>51</v>
      </c>
      <c r="AW81" s="6" t="str">
        <f t="shared" si="55"/>
        <v>Matched</v>
      </c>
    </row>
    <row r="82" spans="3:49" x14ac:dyDescent="0.35">
      <c r="C82" s="1" t="s">
        <v>199</v>
      </c>
      <c r="D82" s="18" t="s">
        <v>211</v>
      </c>
      <c r="E82" s="36" t="s">
        <v>212</v>
      </c>
      <c r="F82" s="37">
        <v>0.16666666666666666</v>
      </c>
      <c r="G82" s="8" t="s">
        <v>67</v>
      </c>
      <c r="H82" s="1" t="s">
        <v>146</v>
      </c>
      <c r="I82" s="1">
        <v>80</v>
      </c>
      <c r="J82" s="1" t="s">
        <v>119</v>
      </c>
      <c r="K82" s="1" t="s">
        <v>67</v>
      </c>
      <c r="L82" s="6" t="s">
        <v>146</v>
      </c>
      <c r="M82" s="1" t="str">
        <f t="shared" si="19"/>
        <v>No Match</v>
      </c>
      <c r="N82" s="6" t="s">
        <v>67</v>
      </c>
      <c r="O82" s="1" t="str">
        <f t="shared" si="38"/>
        <v>Matched</v>
      </c>
      <c r="P82" s="1" t="s">
        <v>67</v>
      </c>
      <c r="Q82" s="1" t="str">
        <f t="shared" si="39"/>
        <v>Matched</v>
      </c>
      <c r="R82" s="8" t="s">
        <v>67</v>
      </c>
      <c r="S82" s="6" t="str">
        <f t="shared" si="40"/>
        <v>Matched</v>
      </c>
      <c r="T82" s="8" t="s">
        <v>67</v>
      </c>
      <c r="U82" s="6" t="str">
        <f t="shared" si="41"/>
        <v>Matched</v>
      </c>
      <c r="V82" s="6" t="s">
        <v>67</v>
      </c>
      <c r="W82" s="6" t="str">
        <f t="shared" si="42"/>
        <v>Matched</v>
      </c>
      <c r="X82" s="6" t="s">
        <v>67</v>
      </c>
      <c r="Y82" s="6" t="str">
        <f t="shared" si="43"/>
        <v>Matched</v>
      </c>
      <c r="Z82" s="8" t="s">
        <v>67</v>
      </c>
      <c r="AA82" s="6" t="str">
        <f t="shared" si="44"/>
        <v>Matched</v>
      </c>
      <c r="AB82" s="6" t="s">
        <v>67</v>
      </c>
      <c r="AC82" s="6" t="str">
        <f t="shared" si="45"/>
        <v>Matched</v>
      </c>
      <c r="AD82" s="6" t="s">
        <v>67</v>
      </c>
      <c r="AE82" s="6" t="str">
        <f t="shared" si="46"/>
        <v>Matched</v>
      </c>
      <c r="AF82" s="6" t="s">
        <v>67</v>
      </c>
      <c r="AG82" s="6" t="str">
        <f t="shared" si="47"/>
        <v>Matched</v>
      </c>
      <c r="AH82" s="6" t="s">
        <v>67</v>
      </c>
      <c r="AI82" s="6" t="str">
        <f t="shared" si="48"/>
        <v>Matched</v>
      </c>
      <c r="AJ82" s="6" t="s">
        <v>67</v>
      </c>
      <c r="AK82" s="6" t="str">
        <f t="shared" si="49"/>
        <v>Matched</v>
      </c>
      <c r="AL82" s="6" t="s">
        <v>67</v>
      </c>
      <c r="AM82" s="6" t="str">
        <f t="shared" si="50"/>
        <v>Matched</v>
      </c>
      <c r="AN82" s="6" t="s">
        <v>67</v>
      </c>
      <c r="AO82" s="6" t="str">
        <f t="shared" si="51"/>
        <v>Matched</v>
      </c>
      <c r="AP82" s="6" t="s">
        <v>146</v>
      </c>
      <c r="AQ82" s="6" t="str">
        <f t="shared" si="52"/>
        <v>No Match</v>
      </c>
      <c r="AR82" s="6" t="s">
        <v>67</v>
      </c>
      <c r="AS82" s="6" t="str">
        <f t="shared" si="53"/>
        <v>Matched</v>
      </c>
      <c r="AT82" s="6" t="s">
        <v>67</v>
      </c>
      <c r="AU82" s="6" t="str">
        <f t="shared" si="54"/>
        <v>Matched</v>
      </c>
      <c r="AV82" s="6" t="s">
        <v>67</v>
      </c>
      <c r="AW82" s="6" t="str">
        <f t="shared" si="55"/>
        <v>Matched</v>
      </c>
    </row>
    <row r="83" spans="3:49" x14ac:dyDescent="0.35">
      <c r="C83" s="1" t="s">
        <v>199</v>
      </c>
      <c r="D83" s="18" t="s">
        <v>213</v>
      </c>
      <c r="E83" s="36" t="s">
        <v>212</v>
      </c>
      <c r="F83" s="37">
        <v>0.33333333333333331</v>
      </c>
      <c r="G83" s="8" t="s">
        <v>96</v>
      </c>
      <c r="H83" s="1" t="s">
        <v>120</v>
      </c>
      <c r="I83" s="1">
        <v>82</v>
      </c>
      <c r="J83" s="1" t="s">
        <v>124</v>
      </c>
      <c r="K83" s="1" t="s">
        <v>96</v>
      </c>
      <c r="L83" s="6" t="s">
        <v>120</v>
      </c>
      <c r="M83" s="1" t="str">
        <f t="shared" si="19"/>
        <v>No Match</v>
      </c>
      <c r="N83" s="6" t="s">
        <v>96</v>
      </c>
      <c r="O83" s="1" t="str">
        <f t="shared" si="38"/>
        <v>Matched</v>
      </c>
      <c r="P83" s="1" t="s">
        <v>96</v>
      </c>
      <c r="Q83" s="1" t="str">
        <f t="shared" si="39"/>
        <v>Matched</v>
      </c>
      <c r="R83" s="8" t="s">
        <v>96</v>
      </c>
      <c r="S83" s="6" t="str">
        <f t="shared" si="40"/>
        <v>Matched</v>
      </c>
      <c r="T83" s="1" t="s">
        <v>120</v>
      </c>
      <c r="U83" s="6" t="str">
        <f t="shared" si="41"/>
        <v>No Match</v>
      </c>
      <c r="V83" s="6" t="s">
        <v>96</v>
      </c>
      <c r="W83" s="6" t="str">
        <f t="shared" si="42"/>
        <v>Matched</v>
      </c>
      <c r="X83" s="6" t="s">
        <v>96</v>
      </c>
      <c r="Y83" s="6" t="str">
        <f t="shared" si="43"/>
        <v>Matched</v>
      </c>
      <c r="Z83" s="8" t="s">
        <v>96</v>
      </c>
      <c r="AA83" s="6" t="str">
        <f t="shared" si="44"/>
        <v>Matched</v>
      </c>
      <c r="AB83" s="6" t="s">
        <v>96</v>
      </c>
      <c r="AC83" s="6" t="str">
        <f t="shared" si="45"/>
        <v>Matched</v>
      </c>
      <c r="AD83" s="6" t="s">
        <v>96</v>
      </c>
      <c r="AE83" s="6" t="str">
        <f t="shared" si="46"/>
        <v>Matched</v>
      </c>
      <c r="AF83" s="6" t="s">
        <v>96</v>
      </c>
      <c r="AG83" s="6" t="str">
        <f t="shared" si="47"/>
        <v>Matched</v>
      </c>
      <c r="AH83" s="6" t="s">
        <v>96</v>
      </c>
      <c r="AI83" s="6" t="str">
        <f t="shared" si="48"/>
        <v>Matched</v>
      </c>
      <c r="AJ83" s="6" t="s">
        <v>96</v>
      </c>
      <c r="AK83" s="6" t="str">
        <f t="shared" si="49"/>
        <v>Matched</v>
      </c>
      <c r="AL83" s="6" t="s">
        <v>96</v>
      </c>
      <c r="AM83" s="6" t="str">
        <f t="shared" si="50"/>
        <v>Matched</v>
      </c>
      <c r="AN83" s="6" t="s">
        <v>96</v>
      </c>
      <c r="AO83" s="6" t="str">
        <f t="shared" si="51"/>
        <v>Matched</v>
      </c>
      <c r="AP83" s="6" t="s">
        <v>96</v>
      </c>
      <c r="AQ83" s="6" t="str">
        <f t="shared" si="52"/>
        <v>Matched</v>
      </c>
      <c r="AR83" s="6" t="s">
        <v>96</v>
      </c>
      <c r="AS83" s="6" t="str">
        <f t="shared" si="53"/>
        <v>Matched</v>
      </c>
      <c r="AT83" s="6" t="s">
        <v>96</v>
      </c>
      <c r="AU83" s="6" t="str">
        <f t="shared" si="54"/>
        <v>Matched</v>
      </c>
      <c r="AV83" s="6" t="s">
        <v>96</v>
      </c>
      <c r="AW83" s="6" t="str">
        <f t="shared" si="55"/>
        <v>Matched</v>
      </c>
    </row>
    <row r="84" spans="3:49" ht="26" x14ac:dyDescent="0.35">
      <c r="C84" s="1" t="s">
        <v>199</v>
      </c>
      <c r="D84" s="18" t="s">
        <v>214</v>
      </c>
      <c r="E84" s="36" t="s">
        <v>212</v>
      </c>
      <c r="F84" s="37">
        <v>0.5</v>
      </c>
      <c r="G84" s="8" t="s">
        <v>71</v>
      </c>
      <c r="H84" s="1" t="s">
        <v>65</v>
      </c>
      <c r="I84" s="1">
        <v>81</v>
      </c>
      <c r="J84" s="1" t="s">
        <v>78</v>
      </c>
      <c r="K84" s="1" t="s">
        <v>71</v>
      </c>
      <c r="L84" s="6" t="s">
        <v>71</v>
      </c>
      <c r="M84" s="1" t="str">
        <f t="shared" si="19"/>
        <v>Matched</v>
      </c>
      <c r="N84" s="8" t="s">
        <v>71</v>
      </c>
      <c r="O84" s="1" t="str">
        <f t="shared" si="38"/>
        <v>Matched</v>
      </c>
      <c r="P84" s="1" t="s">
        <v>71</v>
      </c>
      <c r="Q84" s="1" t="str">
        <f t="shared" si="39"/>
        <v>Matched</v>
      </c>
      <c r="R84" s="8" t="s">
        <v>71</v>
      </c>
      <c r="S84" s="6" t="str">
        <f t="shared" si="40"/>
        <v>Matched</v>
      </c>
      <c r="T84" s="1" t="s">
        <v>65</v>
      </c>
      <c r="U84" s="6" t="str">
        <f t="shared" si="41"/>
        <v>No Match</v>
      </c>
      <c r="V84" s="6" t="s">
        <v>71</v>
      </c>
      <c r="W84" s="6" t="str">
        <f t="shared" si="42"/>
        <v>Matched</v>
      </c>
      <c r="X84" s="6" t="s">
        <v>71</v>
      </c>
      <c r="Y84" s="6" t="str">
        <f t="shared" si="43"/>
        <v>Matched</v>
      </c>
      <c r="Z84" s="8" t="s">
        <v>71</v>
      </c>
      <c r="AA84" s="6" t="str">
        <f t="shared" si="44"/>
        <v>Matched</v>
      </c>
      <c r="AB84" s="8" t="s">
        <v>71</v>
      </c>
      <c r="AC84" s="6" t="str">
        <f t="shared" si="45"/>
        <v>Matched</v>
      </c>
      <c r="AD84" s="8" t="s">
        <v>71</v>
      </c>
      <c r="AE84" s="6" t="str">
        <f t="shared" si="46"/>
        <v>Matched</v>
      </c>
      <c r="AF84" s="23" t="s">
        <v>71</v>
      </c>
      <c r="AG84" s="6" t="str">
        <f t="shared" si="47"/>
        <v>Matched</v>
      </c>
      <c r="AH84" s="6" t="s">
        <v>71</v>
      </c>
      <c r="AI84" s="6" t="str">
        <f t="shared" si="48"/>
        <v>Matched</v>
      </c>
      <c r="AJ84" s="6" t="s">
        <v>71</v>
      </c>
      <c r="AK84" s="6" t="str">
        <f t="shared" si="49"/>
        <v>Matched</v>
      </c>
      <c r="AL84" s="6" t="s">
        <v>71</v>
      </c>
      <c r="AM84" s="6" t="str">
        <f t="shared" si="50"/>
        <v>Matched</v>
      </c>
      <c r="AN84" s="6" t="s">
        <v>71</v>
      </c>
      <c r="AO84" s="6" t="str">
        <f t="shared" si="51"/>
        <v>Matched</v>
      </c>
      <c r="AP84" s="6" t="s">
        <v>65</v>
      </c>
      <c r="AQ84" s="6" t="str">
        <f t="shared" si="52"/>
        <v>No Match</v>
      </c>
      <c r="AR84" s="6" t="s">
        <v>71</v>
      </c>
      <c r="AS84" s="6" t="str">
        <f t="shared" si="53"/>
        <v>Matched</v>
      </c>
      <c r="AT84" s="6" t="s">
        <v>71</v>
      </c>
      <c r="AU84" s="6" t="str">
        <f t="shared" si="54"/>
        <v>Matched</v>
      </c>
      <c r="AV84" s="6" t="s">
        <v>71</v>
      </c>
      <c r="AW84" s="6" t="str">
        <f t="shared" si="55"/>
        <v>Matched</v>
      </c>
    </row>
    <row r="85" spans="3:49" x14ac:dyDescent="0.35">
      <c r="C85" s="1" t="s">
        <v>199</v>
      </c>
      <c r="D85" s="18" t="s">
        <v>215</v>
      </c>
      <c r="E85" s="36" t="s">
        <v>216</v>
      </c>
      <c r="F85" s="37">
        <v>0.29166666666666669</v>
      </c>
      <c r="G85" s="8" t="s">
        <v>54</v>
      </c>
      <c r="H85" s="1" t="s">
        <v>142</v>
      </c>
      <c r="I85" s="1">
        <v>84</v>
      </c>
      <c r="J85" s="1" t="s">
        <v>171</v>
      </c>
      <c r="K85" s="1" t="s">
        <v>54</v>
      </c>
      <c r="L85" s="6" t="s">
        <v>54</v>
      </c>
      <c r="M85" s="1" t="str">
        <f t="shared" si="19"/>
        <v>Matched</v>
      </c>
      <c r="N85" s="6" t="s">
        <v>54</v>
      </c>
      <c r="O85" s="1" t="str">
        <f t="shared" si="38"/>
        <v>Matched</v>
      </c>
      <c r="P85" s="1" t="s">
        <v>54</v>
      </c>
      <c r="Q85" s="1" t="str">
        <f t="shared" si="39"/>
        <v>Matched</v>
      </c>
      <c r="R85" s="8" t="s">
        <v>54</v>
      </c>
      <c r="S85" s="6" t="str">
        <f t="shared" si="40"/>
        <v>Matched</v>
      </c>
      <c r="T85" s="8" t="s">
        <v>54</v>
      </c>
      <c r="U85" s="6" t="str">
        <f t="shared" si="41"/>
        <v>Matched</v>
      </c>
      <c r="V85" s="6" t="s">
        <v>54</v>
      </c>
      <c r="W85" s="6" t="str">
        <f t="shared" si="42"/>
        <v>Matched</v>
      </c>
      <c r="X85" s="6" t="s">
        <v>54</v>
      </c>
      <c r="Y85" s="6" t="str">
        <f t="shared" si="43"/>
        <v>Matched</v>
      </c>
      <c r="Z85" s="8" t="s">
        <v>54</v>
      </c>
      <c r="AA85" s="6" t="str">
        <f t="shared" si="44"/>
        <v>Matched</v>
      </c>
      <c r="AB85" s="6" t="s">
        <v>54</v>
      </c>
      <c r="AC85" s="6" t="str">
        <f t="shared" si="45"/>
        <v>Matched</v>
      </c>
      <c r="AD85" s="6" t="s">
        <v>54</v>
      </c>
      <c r="AE85" s="6" t="str">
        <f t="shared" si="46"/>
        <v>Matched</v>
      </c>
      <c r="AF85" s="6" t="s">
        <v>54</v>
      </c>
      <c r="AG85" s="6" t="str">
        <f t="shared" si="47"/>
        <v>Matched</v>
      </c>
      <c r="AH85" s="6" t="s">
        <v>54</v>
      </c>
      <c r="AI85" s="6" t="str">
        <f t="shared" si="48"/>
        <v>Matched</v>
      </c>
      <c r="AJ85" s="6" t="s">
        <v>54</v>
      </c>
      <c r="AK85" s="6" t="str">
        <f t="shared" si="49"/>
        <v>Matched</v>
      </c>
      <c r="AL85" s="6" t="s">
        <v>54</v>
      </c>
      <c r="AM85" s="6" t="str">
        <f t="shared" si="50"/>
        <v>Matched</v>
      </c>
      <c r="AN85" s="6" t="s">
        <v>54</v>
      </c>
      <c r="AO85" s="6" t="str">
        <f t="shared" si="51"/>
        <v>Matched</v>
      </c>
      <c r="AP85" s="6" t="s">
        <v>54</v>
      </c>
      <c r="AQ85" s="6" t="str">
        <f t="shared" si="52"/>
        <v>Matched</v>
      </c>
      <c r="AR85" s="6" t="s">
        <v>54</v>
      </c>
      <c r="AS85" s="6" t="str">
        <f t="shared" si="53"/>
        <v>Matched</v>
      </c>
      <c r="AT85" s="6" t="s">
        <v>54</v>
      </c>
      <c r="AU85" s="6" t="str">
        <f t="shared" si="54"/>
        <v>Matched</v>
      </c>
      <c r="AV85" s="6" t="s">
        <v>54</v>
      </c>
      <c r="AW85" s="6" t="str">
        <f t="shared" si="55"/>
        <v>Matched</v>
      </c>
    </row>
    <row r="86" spans="3:49" x14ac:dyDescent="0.35">
      <c r="C86" s="1" t="s">
        <v>199</v>
      </c>
      <c r="D86" s="18" t="s">
        <v>217</v>
      </c>
      <c r="E86" s="36" t="s">
        <v>216</v>
      </c>
      <c r="F86" s="37">
        <v>0.45833333333333331</v>
      </c>
      <c r="G86" s="8" t="s">
        <v>74</v>
      </c>
      <c r="H86" s="1" t="s">
        <v>106</v>
      </c>
      <c r="I86" s="1">
        <v>83</v>
      </c>
      <c r="J86" s="1" t="s">
        <v>66</v>
      </c>
      <c r="K86" s="1" t="s">
        <v>74</v>
      </c>
      <c r="L86" s="6" t="s">
        <v>74</v>
      </c>
      <c r="M86" s="1" t="str">
        <f t="shared" si="19"/>
        <v>Matched</v>
      </c>
      <c r="N86" s="6" t="s">
        <v>106</v>
      </c>
      <c r="O86" s="1" t="str">
        <f t="shared" si="38"/>
        <v>No Match</v>
      </c>
      <c r="P86" s="1" t="s">
        <v>74</v>
      </c>
      <c r="Q86" s="1" t="str">
        <f t="shared" si="39"/>
        <v>Matched</v>
      </c>
      <c r="R86" s="1" t="s">
        <v>106</v>
      </c>
      <c r="S86" s="6" t="str">
        <f t="shared" si="40"/>
        <v>No Match</v>
      </c>
      <c r="T86" s="1" t="s">
        <v>106</v>
      </c>
      <c r="U86" s="6" t="str">
        <f t="shared" si="41"/>
        <v>No Match</v>
      </c>
      <c r="V86" s="6" t="s">
        <v>74</v>
      </c>
      <c r="W86" s="6" t="str">
        <f t="shared" si="42"/>
        <v>Matched</v>
      </c>
      <c r="X86" s="6" t="s">
        <v>74</v>
      </c>
      <c r="Y86" s="6" t="str">
        <f t="shared" si="43"/>
        <v>Matched</v>
      </c>
      <c r="Z86" s="8" t="s">
        <v>74</v>
      </c>
      <c r="AA86" s="6" t="str">
        <f t="shared" si="44"/>
        <v>Matched</v>
      </c>
      <c r="AB86" s="8" t="s">
        <v>74</v>
      </c>
      <c r="AC86" s="6" t="str">
        <f t="shared" si="45"/>
        <v>Matched</v>
      </c>
      <c r="AD86" s="6" t="s">
        <v>74</v>
      </c>
      <c r="AE86" s="6" t="str">
        <f t="shared" si="46"/>
        <v>Matched</v>
      </c>
      <c r="AF86" s="6" t="s">
        <v>106</v>
      </c>
      <c r="AG86" s="6" t="str">
        <f t="shared" si="47"/>
        <v>No Match</v>
      </c>
      <c r="AH86" s="6" t="s">
        <v>74</v>
      </c>
      <c r="AI86" s="6" t="str">
        <f t="shared" si="48"/>
        <v>Matched</v>
      </c>
      <c r="AJ86" s="6" t="s">
        <v>74</v>
      </c>
      <c r="AK86" s="6" t="str">
        <f t="shared" si="49"/>
        <v>Matched</v>
      </c>
      <c r="AL86" s="6" t="s">
        <v>74</v>
      </c>
      <c r="AM86" s="6" t="str">
        <f t="shared" si="50"/>
        <v>Matched</v>
      </c>
      <c r="AN86" s="6" t="s">
        <v>74</v>
      </c>
      <c r="AO86" s="6" t="str">
        <f t="shared" si="51"/>
        <v>Matched</v>
      </c>
      <c r="AP86" s="6" t="s">
        <v>74</v>
      </c>
      <c r="AQ86" s="6" t="str">
        <f t="shared" si="52"/>
        <v>Matched</v>
      </c>
      <c r="AR86" s="6" t="s">
        <v>74</v>
      </c>
      <c r="AS86" s="6" t="str">
        <f t="shared" si="53"/>
        <v>Matched</v>
      </c>
      <c r="AT86" s="6" t="s">
        <v>74</v>
      </c>
      <c r="AU86" s="6" t="str">
        <f t="shared" si="54"/>
        <v>Matched</v>
      </c>
      <c r="AV86" s="6" t="s">
        <v>74</v>
      </c>
      <c r="AW86" s="6" t="str">
        <f t="shared" si="55"/>
        <v>Matched</v>
      </c>
    </row>
    <row r="87" spans="3:49" x14ac:dyDescent="0.35">
      <c r="C87" s="1" t="s">
        <v>199</v>
      </c>
      <c r="D87" s="18" t="s">
        <v>218</v>
      </c>
      <c r="E87" s="36" t="s">
        <v>216</v>
      </c>
      <c r="F87" s="37">
        <v>0.625</v>
      </c>
      <c r="G87" s="8" t="s">
        <v>77</v>
      </c>
      <c r="H87" s="1" t="s">
        <v>139</v>
      </c>
      <c r="I87" s="1">
        <v>85</v>
      </c>
      <c r="J87" s="1" t="s">
        <v>94</v>
      </c>
      <c r="K87" s="8" t="s">
        <v>77</v>
      </c>
      <c r="L87" s="6" t="s">
        <v>139</v>
      </c>
      <c r="M87" s="1" t="str">
        <f t="shared" si="19"/>
        <v>No Match</v>
      </c>
      <c r="N87" s="8" t="s">
        <v>77</v>
      </c>
      <c r="O87" s="1" t="str">
        <f t="shared" si="38"/>
        <v>Matched</v>
      </c>
      <c r="P87" s="1" t="s">
        <v>77</v>
      </c>
      <c r="Q87" s="1" t="str">
        <f t="shared" si="39"/>
        <v>Matched</v>
      </c>
      <c r="R87" s="8" t="s">
        <v>77</v>
      </c>
      <c r="S87" s="6" t="str">
        <f t="shared" si="40"/>
        <v>Matched</v>
      </c>
      <c r="T87" s="1" t="s">
        <v>139</v>
      </c>
      <c r="U87" s="6" t="str">
        <f t="shared" si="41"/>
        <v>No Match</v>
      </c>
      <c r="V87" s="6" t="s">
        <v>77</v>
      </c>
      <c r="W87" s="6" t="str">
        <f t="shared" si="42"/>
        <v>Matched</v>
      </c>
      <c r="X87" s="6" t="s">
        <v>77</v>
      </c>
      <c r="Y87" s="6" t="str">
        <f t="shared" si="43"/>
        <v>Matched</v>
      </c>
      <c r="Z87" s="8" t="s">
        <v>77</v>
      </c>
      <c r="AA87" s="6" t="str">
        <f t="shared" si="44"/>
        <v>Matched</v>
      </c>
      <c r="AB87" s="6" t="s">
        <v>77</v>
      </c>
      <c r="AC87" s="6" t="str">
        <f t="shared" si="45"/>
        <v>Matched</v>
      </c>
      <c r="AD87" s="8" t="s">
        <v>77</v>
      </c>
      <c r="AE87" s="6" t="str">
        <f t="shared" si="46"/>
        <v>Matched</v>
      </c>
      <c r="AF87" s="6" t="s">
        <v>139</v>
      </c>
      <c r="AG87" s="6" t="str">
        <f t="shared" si="47"/>
        <v>No Match</v>
      </c>
      <c r="AH87" s="6" t="s">
        <v>77</v>
      </c>
      <c r="AI87" s="6" t="str">
        <f t="shared" si="48"/>
        <v>Matched</v>
      </c>
      <c r="AJ87" s="6" t="s">
        <v>77</v>
      </c>
      <c r="AK87" s="6" t="str">
        <f t="shared" si="49"/>
        <v>Matched</v>
      </c>
      <c r="AL87" s="6" t="s">
        <v>77</v>
      </c>
      <c r="AM87" s="6" t="str">
        <f t="shared" si="50"/>
        <v>Matched</v>
      </c>
      <c r="AN87" s="6" t="s">
        <v>77</v>
      </c>
      <c r="AO87" s="6" t="str">
        <f t="shared" si="51"/>
        <v>Matched</v>
      </c>
      <c r="AP87" s="6" t="s">
        <v>139</v>
      </c>
      <c r="AQ87" s="6" t="str">
        <f t="shared" si="52"/>
        <v>No Match</v>
      </c>
      <c r="AR87" s="6" t="s">
        <v>77</v>
      </c>
      <c r="AS87" s="6" t="str">
        <f t="shared" si="53"/>
        <v>Matched</v>
      </c>
      <c r="AT87" s="6" t="s">
        <v>77</v>
      </c>
      <c r="AU87" s="6" t="str">
        <f t="shared" si="54"/>
        <v>Matched</v>
      </c>
      <c r="AV87" s="8" t="s">
        <v>77</v>
      </c>
      <c r="AW87" s="6" t="str">
        <f t="shared" si="55"/>
        <v>Matched</v>
      </c>
    </row>
    <row r="88" spans="3:49" x14ac:dyDescent="0.35">
      <c r="C88" s="1" t="s">
        <v>199</v>
      </c>
      <c r="D88" s="18" t="s">
        <v>219</v>
      </c>
      <c r="E88" s="36" t="s">
        <v>220</v>
      </c>
      <c r="F88" s="37">
        <v>0.25</v>
      </c>
      <c r="G88" s="8" t="s">
        <v>92</v>
      </c>
      <c r="H88" s="1" t="s">
        <v>123</v>
      </c>
      <c r="I88" s="1">
        <v>88</v>
      </c>
      <c r="J88" s="1" t="s">
        <v>105</v>
      </c>
      <c r="K88" s="1" t="s">
        <v>123</v>
      </c>
      <c r="L88" s="6" t="s">
        <v>92</v>
      </c>
      <c r="M88" s="1" t="str">
        <f t="shared" si="19"/>
        <v>No Match</v>
      </c>
      <c r="N88" s="6" t="s">
        <v>123</v>
      </c>
      <c r="O88" s="1" t="str">
        <f t="shared" si="38"/>
        <v>Matched</v>
      </c>
      <c r="P88" s="1" t="s">
        <v>123</v>
      </c>
      <c r="Q88" s="1" t="str">
        <f t="shared" si="39"/>
        <v>Matched</v>
      </c>
      <c r="R88" s="8" t="s">
        <v>92</v>
      </c>
      <c r="S88" s="6" t="str">
        <f t="shared" si="40"/>
        <v>No Match</v>
      </c>
      <c r="T88" s="29" t="s">
        <v>123</v>
      </c>
      <c r="U88" s="6" t="str">
        <f t="shared" si="41"/>
        <v>Matched</v>
      </c>
      <c r="V88" s="6" t="s">
        <v>92</v>
      </c>
      <c r="W88" s="6" t="str">
        <f t="shared" si="42"/>
        <v>No Match</v>
      </c>
      <c r="X88" s="6" t="s">
        <v>92</v>
      </c>
      <c r="Y88" s="6" t="str">
        <f t="shared" si="43"/>
        <v>No Match</v>
      </c>
      <c r="Z88" s="1" t="s">
        <v>123</v>
      </c>
      <c r="AA88" s="6" t="str">
        <f t="shared" si="44"/>
        <v>Matched</v>
      </c>
      <c r="AB88" s="1" t="s">
        <v>123</v>
      </c>
      <c r="AC88" s="6" t="str">
        <f t="shared" si="45"/>
        <v>Matched</v>
      </c>
      <c r="AD88" s="6" t="s">
        <v>123</v>
      </c>
      <c r="AE88" s="6" t="str">
        <f t="shared" si="46"/>
        <v>Matched</v>
      </c>
      <c r="AF88" s="6" t="s">
        <v>123</v>
      </c>
      <c r="AG88" s="6" t="str">
        <f t="shared" si="47"/>
        <v>Matched</v>
      </c>
      <c r="AH88" s="6" t="s">
        <v>123</v>
      </c>
      <c r="AI88" s="6" t="str">
        <f t="shared" si="48"/>
        <v>Matched</v>
      </c>
      <c r="AJ88" s="6" t="s">
        <v>123</v>
      </c>
      <c r="AK88" s="6" t="str">
        <f t="shared" si="49"/>
        <v>Matched</v>
      </c>
      <c r="AL88" s="6" t="s">
        <v>123</v>
      </c>
      <c r="AM88" s="6" t="str">
        <f t="shared" si="50"/>
        <v>Matched</v>
      </c>
      <c r="AN88" s="6" t="s">
        <v>123</v>
      </c>
      <c r="AO88" s="6" t="str">
        <f t="shared" si="51"/>
        <v>Matched</v>
      </c>
      <c r="AP88" s="6" t="s">
        <v>123</v>
      </c>
      <c r="AQ88" s="6" t="str">
        <f t="shared" si="52"/>
        <v>Matched</v>
      </c>
      <c r="AR88" s="6" t="s">
        <v>123</v>
      </c>
      <c r="AS88" s="6" t="str">
        <f t="shared" si="53"/>
        <v>Matched</v>
      </c>
      <c r="AT88" s="6" t="s">
        <v>123</v>
      </c>
      <c r="AU88" s="6" t="str">
        <f t="shared" si="54"/>
        <v>Matched</v>
      </c>
      <c r="AV88" s="6" t="s">
        <v>92</v>
      </c>
      <c r="AW88" s="6" t="str">
        <f t="shared" si="55"/>
        <v>No Match</v>
      </c>
    </row>
    <row r="89" spans="3:49" x14ac:dyDescent="0.35">
      <c r="C89" s="1" t="s">
        <v>199</v>
      </c>
      <c r="D89" s="18" t="s">
        <v>221</v>
      </c>
      <c r="E89" s="36" t="s">
        <v>220</v>
      </c>
      <c r="F89" s="37">
        <v>0.41666666666666669</v>
      </c>
      <c r="G89" s="8" t="s">
        <v>48</v>
      </c>
      <c r="H89" s="1" t="s">
        <v>118</v>
      </c>
      <c r="I89" s="1">
        <v>86</v>
      </c>
      <c r="J89" s="1" t="s">
        <v>128</v>
      </c>
      <c r="K89" s="1" t="s">
        <v>48</v>
      </c>
      <c r="L89" s="8" t="s">
        <v>48</v>
      </c>
      <c r="M89" s="1" t="str">
        <f t="shared" si="19"/>
        <v>Matched</v>
      </c>
      <c r="N89" s="6" t="s">
        <v>48</v>
      </c>
      <c r="O89" s="1" t="str">
        <f t="shared" si="38"/>
        <v>Matched</v>
      </c>
      <c r="P89" s="6" t="s">
        <v>48</v>
      </c>
      <c r="Q89" s="1" t="str">
        <f t="shared" si="39"/>
        <v>Matched</v>
      </c>
      <c r="R89" s="8" t="s">
        <v>48</v>
      </c>
      <c r="S89" s="6" t="str">
        <f t="shared" si="40"/>
        <v>Matched</v>
      </c>
      <c r="T89" s="8" t="s">
        <v>48</v>
      </c>
      <c r="U89" s="6" t="str">
        <f t="shared" si="41"/>
        <v>Matched</v>
      </c>
      <c r="V89" s="6" t="s">
        <v>48</v>
      </c>
      <c r="W89" s="6" t="str">
        <f t="shared" si="42"/>
        <v>Matched</v>
      </c>
      <c r="X89" s="6" t="s">
        <v>48</v>
      </c>
      <c r="Y89" s="6" t="str">
        <f t="shared" si="43"/>
        <v>Matched</v>
      </c>
      <c r="Z89" s="8" t="s">
        <v>48</v>
      </c>
      <c r="AA89" s="6" t="str">
        <f t="shared" si="44"/>
        <v>Matched</v>
      </c>
      <c r="AB89" s="6" t="s">
        <v>48</v>
      </c>
      <c r="AC89" s="6" t="str">
        <f t="shared" si="45"/>
        <v>Matched</v>
      </c>
      <c r="AD89" s="6" t="s">
        <v>48</v>
      </c>
      <c r="AE89" s="6" t="str">
        <f t="shared" si="46"/>
        <v>Matched</v>
      </c>
      <c r="AF89" s="6" t="s">
        <v>48</v>
      </c>
      <c r="AG89" s="6" t="str">
        <f t="shared" si="47"/>
        <v>Matched</v>
      </c>
      <c r="AH89" s="6" t="s">
        <v>48</v>
      </c>
      <c r="AI89" s="6" t="str">
        <f t="shared" si="48"/>
        <v>Matched</v>
      </c>
      <c r="AJ89" s="6" t="s">
        <v>48</v>
      </c>
      <c r="AK89" s="6" t="str">
        <f t="shared" si="49"/>
        <v>Matched</v>
      </c>
      <c r="AL89" s="6" t="s">
        <v>48</v>
      </c>
      <c r="AM89" s="6" t="str">
        <f t="shared" si="50"/>
        <v>Matched</v>
      </c>
      <c r="AN89" s="6" t="s">
        <v>48</v>
      </c>
      <c r="AO89" s="6" t="str">
        <f t="shared" si="51"/>
        <v>Matched</v>
      </c>
      <c r="AP89" s="6" t="s">
        <v>48</v>
      </c>
      <c r="AQ89" s="6" t="str">
        <f t="shared" si="52"/>
        <v>Matched</v>
      </c>
      <c r="AR89" s="6" t="s">
        <v>48</v>
      </c>
      <c r="AS89" s="6" t="str">
        <f t="shared" si="53"/>
        <v>Matched</v>
      </c>
      <c r="AT89" s="6" t="s">
        <v>48</v>
      </c>
      <c r="AU89" s="6" t="str">
        <f t="shared" si="54"/>
        <v>Matched</v>
      </c>
      <c r="AV89" s="6" t="s">
        <v>48</v>
      </c>
      <c r="AW89" s="6" t="str">
        <f t="shared" si="55"/>
        <v>Matched</v>
      </c>
    </row>
    <row r="90" spans="3:49" x14ac:dyDescent="0.35">
      <c r="C90" s="1" t="s">
        <v>199</v>
      </c>
      <c r="D90" s="18" t="s">
        <v>222</v>
      </c>
      <c r="E90" s="36" t="s">
        <v>220</v>
      </c>
      <c r="F90" s="37">
        <v>0.5625</v>
      </c>
      <c r="G90" s="8" t="s">
        <v>111</v>
      </c>
      <c r="H90" s="1" t="s">
        <v>151</v>
      </c>
      <c r="I90" s="1">
        <v>87</v>
      </c>
      <c r="J90" s="1" t="s">
        <v>140</v>
      </c>
      <c r="K90" s="30" t="s">
        <v>111</v>
      </c>
      <c r="L90" s="6" t="s">
        <v>151</v>
      </c>
      <c r="M90" s="1" t="str">
        <f t="shared" si="19"/>
        <v>No Match</v>
      </c>
      <c r="N90" s="8" t="s">
        <v>111</v>
      </c>
      <c r="O90" s="1" t="str">
        <f t="shared" si="38"/>
        <v>Matched</v>
      </c>
      <c r="P90" s="1" t="s">
        <v>111</v>
      </c>
      <c r="Q90" s="1" t="str">
        <f t="shared" si="39"/>
        <v>Matched</v>
      </c>
      <c r="R90" s="8" t="s">
        <v>111</v>
      </c>
      <c r="S90" s="6" t="str">
        <f t="shared" si="40"/>
        <v>Matched</v>
      </c>
      <c r="T90" s="29" t="s">
        <v>151</v>
      </c>
      <c r="U90" s="6" t="str">
        <f t="shared" si="41"/>
        <v>No Match</v>
      </c>
      <c r="V90" s="6" t="s">
        <v>111</v>
      </c>
      <c r="W90" s="6" t="str">
        <f t="shared" si="42"/>
        <v>Matched</v>
      </c>
      <c r="X90" s="6" t="s">
        <v>111</v>
      </c>
      <c r="Y90" s="6" t="str">
        <f t="shared" si="43"/>
        <v>Matched</v>
      </c>
      <c r="Z90" s="8" t="s">
        <v>111</v>
      </c>
      <c r="AA90" s="6" t="str">
        <f t="shared" si="44"/>
        <v>Matched</v>
      </c>
      <c r="AB90" s="6" t="s">
        <v>111</v>
      </c>
      <c r="AC90" s="6" t="str">
        <f t="shared" si="45"/>
        <v>Matched</v>
      </c>
      <c r="AD90" s="8" t="s">
        <v>111</v>
      </c>
      <c r="AE90" s="6" t="str">
        <f t="shared" si="46"/>
        <v>Matched</v>
      </c>
      <c r="AF90" s="6" t="s">
        <v>111</v>
      </c>
      <c r="AG90" s="6" t="str">
        <f t="shared" si="47"/>
        <v>Matched</v>
      </c>
      <c r="AH90" s="6" t="s">
        <v>111</v>
      </c>
      <c r="AI90" s="6" t="str">
        <f t="shared" si="48"/>
        <v>Matched</v>
      </c>
      <c r="AJ90" s="6" t="s">
        <v>111</v>
      </c>
      <c r="AK90" s="6" t="str">
        <f t="shared" si="49"/>
        <v>Matched</v>
      </c>
      <c r="AL90" s="6" t="s">
        <v>111</v>
      </c>
      <c r="AM90" s="6" t="str">
        <f t="shared" si="50"/>
        <v>Matched</v>
      </c>
      <c r="AN90" s="6" t="s">
        <v>111</v>
      </c>
      <c r="AO90" s="6" t="str">
        <f t="shared" si="51"/>
        <v>Matched</v>
      </c>
      <c r="AP90" s="6" t="s">
        <v>151</v>
      </c>
      <c r="AQ90" s="6" t="str">
        <f t="shared" si="52"/>
        <v>No Match</v>
      </c>
      <c r="AR90" s="6" t="s">
        <v>111</v>
      </c>
      <c r="AS90" s="6" t="str">
        <f t="shared" si="53"/>
        <v>Matched</v>
      </c>
      <c r="AT90" s="6" t="s">
        <v>111</v>
      </c>
      <c r="AU90" s="6" t="str">
        <f t="shared" si="54"/>
        <v>Matched</v>
      </c>
      <c r="AV90" s="8" t="s">
        <v>111</v>
      </c>
      <c r="AW90" s="6" t="str">
        <f t="shared" si="55"/>
        <v>Matched</v>
      </c>
    </row>
    <row r="91" spans="3:49" x14ac:dyDescent="0.35">
      <c r="C91" s="1"/>
      <c r="D91" s="1"/>
      <c r="F91" s="27"/>
      <c r="G91" s="1"/>
      <c r="H91" s="1"/>
      <c r="I91" s="1"/>
      <c r="J91" s="1"/>
      <c r="K91" s="1"/>
      <c r="M91" s="1"/>
      <c r="O91" s="1"/>
      <c r="P91" s="1"/>
      <c r="Q91" s="1"/>
    </row>
    <row r="92" spans="3:49" x14ac:dyDescent="0.35">
      <c r="C92" s="1" t="s">
        <v>223</v>
      </c>
      <c r="D92" s="18" t="s">
        <v>224</v>
      </c>
      <c r="E92" s="10" t="s">
        <v>225</v>
      </c>
      <c r="F92" s="37">
        <v>0.20833333333333334</v>
      </c>
      <c r="G92" s="38" t="s">
        <v>64</v>
      </c>
      <c r="H92" s="38" t="s">
        <v>83</v>
      </c>
      <c r="I92" s="1">
        <v>90</v>
      </c>
      <c r="J92" s="1" t="s">
        <v>101</v>
      </c>
      <c r="K92" s="1" t="s">
        <v>83</v>
      </c>
      <c r="L92" s="6" t="s">
        <v>83</v>
      </c>
      <c r="M92" s="1" t="str">
        <f t="shared" si="19"/>
        <v>Matched</v>
      </c>
      <c r="N92" s="6" t="s">
        <v>83</v>
      </c>
      <c r="O92" s="1" t="str">
        <f t="shared" si="38"/>
        <v>Matched</v>
      </c>
      <c r="P92" s="1" t="s">
        <v>83</v>
      </c>
      <c r="Q92" s="1" t="str">
        <f t="shared" si="39"/>
        <v>Matched</v>
      </c>
      <c r="R92" s="29" t="s">
        <v>83</v>
      </c>
      <c r="S92" s="6" t="str">
        <f t="shared" si="40"/>
        <v>Matched</v>
      </c>
      <c r="T92" s="6" t="s">
        <v>83</v>
      </c>
      <c r="U92" s="6" t="str">
        <f t="shared" si="41"/>
        <v>Matched</v>
      </c>
      <c r="V92" s="6" t="s">
        <v>83</v>
      </c>
      <c r="W92" s="6" t="str">
        <f t="shared" si="42"/>
        <v>Matched</v>
      </c>
      <c r="X92" s="6" t="s">
        <v>64</v>
      </c>
      <c r="Y92" s="6" t="str">
        <f t="shared" si="43"/>
        <v>No Match</v>
      </c>
      <c r="Z92" s="8" t="s">
        <v>64</v>
      </c>
      <c r="AA92" s="6" t="str">
        <f t="shared" si="44"/>
        <v>No Match</v>
      </c>
      <c r="AB92" s="6" t="s">
        <v>64</v>
      </c>
      <c r="AC92" s="6" t="str">
        <f t="shared" si="45"/>
        <v>No Match</v>
      </c>
      <c r="AD92" s="6" t="s">
        <v>83</v>
      </c>
      <c r="AE92" s="6" t="str">
        <f t="shared" si="46"/>
        <v>Matched</v>
      </c>
      <c r="AF92" s="6" t="s">
        <v>64</v>
      </c>
      <c r="AG92" s="6" t="str">
        <f t="shared" si="47"/>
        <v>No Match</v>
      </c>
      <c r="AH92" s="6" t="s">
        <v>64</v>
      </c>
      <c r="AI92" s="6" t="str">
        <f t="shared" si="48"/>
        <v>No Match</v>
      </c>
      <c r="AJ92" s="6" t="s">
        <v>83</v>
      </c>
      <c r="AK92" s="6" t="str">
        <f t="shared" si="49"/>
        <v>Matched</v>
      </c>
      <c r="AL92" s="6" t="s">
        <v>83</v>
      </c>
      <c r="AM92" s="6" t="str">
        <f t="shared" si="50"/>
        <v>Matched</v>
      </c>
      <c r="AN92" s="6" t="s">
        <v>83</v>
      </c>
      <c r="AO92" s="6" t="str">
        <f t="shared" si="51"/>
        <v>Matched</v>
      </c>
      <c r="AP92" s="6" t="s">
        <v>83</v>
      </c>
      <c r="AQ92" s="6" t="str">
        <f t="shared" si="52"/>
        <v>Matched</v>
      </c>
      <c r="AR92" s="6" t="s">
        <v>83</v>
      </c>
      <c r="AS92" s="6" t="str">
        <f t="shared" si="53"/>
        <v>Matched</v>
      </c>
      <c r="AT92" s="6" t="s">
        <v>83</v>
      </c>
      <c r="AU92" s="6" t="str">
        <f t="shared" si="54"/>
        <v>Matched</v>
      </c>
      <c r="AV92" s="6" t="s">
        <v>83</v>
      </c>
      <c r="AW92" s="6" t="str">
        <f t="shared" ref="AW92:AW108" si="56">IF(ISBLANK(K92),"TBP",IF(AV92=K92,"Matched","No Match"))</f>
        <v>Matched</v>
      </c>
    </row>
    <row r="93" spans="3:49" x14ac:dyDescent="0.35">
      <c r="C93" s="1" t="s">
        <v>223</v>
      </c>
      <c r="D93" s="18" t="s">
        <v>226</v>
      </c>
      <c r="E93" s="10" t="s">
        <v>225</v>
      </c>
      <c r="F93" s="37">
        <v>0.375</v>
      </c>
      <c r="G93" s="35" t="s">
        <v>72</v>
      </c>
      <c r="H93" s="35" t="s">
        <v>60</v>
      </c>
      <c r="I93" s="1">
        <v>89</v>
      </c>
      <c r="J93" s="1" t="s">
        <v>110</v>
      </c>
      <c r="K93" s="1" t="s">
        <v>60</v>
      </c>
      <c r="L93" s="6" t="s">
        <v>60</v>
      </c>
      <c r="M93" s="1" t="str">
        <f t="shared" si="19"/>
        <v>Matched</v>
      </c>
      <c r="N93" s="6" t="s">
        <v>60</v>
      </c>
      <c r="O93" s="1" t="str">
        <f t="shared" si="38"/>
        <v>Matched</v>
      </c>
      <c r="P93" s="1" t="s">
        <v>60</v>
      </c>
      <c r="Q93" s="1" t="str">
        <f t="shared" si="39"/>
        <v>Matched</v>
      </c>
      <c r="R93" s="6" t="s">
        <v>60</v>
      </c>
      <c r="S93" s="6" t="str">
        <f t="shared" si="40"/>
        <v>Matched</v>
      </c>
      <c r="T93" s="6" t="s">
        <v>60</v>
      </c>
      <c r="U93" s="6" t="str">
        <f t="shared" si="41"/>
        <v>Matched</v>
      </c>
      <c r="V93" s="6" t="s">
        <v>60</v>
      </c>
      <c r="W93" s="6" t="str">
        <f t="shared" si="42"/>
        <v>Matched</v>
      </c>
      <c r="X93" s="6" t="s">
        <v>60</v>
      </c>
      <c r="Y93" s="6" t="str">
        <f t="shared" si="43"/>
        <v>Matched</v>
      </c>
      <c r="Z93" s="6" t="s">
        <v>60</v>
      </c>
      <c r="AA93" s="6" t="str">
        <f t="shared" si="44"/>
        <v>Matched</v>
      </c>
      <c r="AB93" s="6" t="s">
        <v>60</v>
      </c>
      <c r="AC93" s="6" t="str">
        <f t="shared" si="45"/>
        <v>Matched</v>
      </c>
      <c r="AD93" s="6" t="s">
        <v>60</v>
      </c>
      <c r="AE93" s="6" t="str">
        <f t="shared" si="46"/>
        <v>Matched</v>
      </c>
      <c r="AF93" s="6" t="s">
        <v>60</v>
      </c>
      <c r="AG93" s="6" t="str">
        <f t="shared" si="47"/>
        <v>Matched</v>
      </c>
      <c r="AH93" s="6" t="s">
        <v>60</v>
      </c>
      <c r="AI93" s="6" t="str">
        <f t="shared" si="48"/>
        <v>Matched</v>
      </c>
      <c r="AJ93" s="6" t="s">
        <v>60</v>
      </c>
      <c r="AK93" s="6" t="str">
        <f t="shared" si="49"/>
        <v>Matched</v>
      </c>
      <c r="AL93" s="6" t="s">
        <v>60</v>
      </c>
      <c r="AM93" s="6" t="str">
        <f t="shared" si="50"/>
        <v>Matched</v>
      </c>
      <c r="AN93" s="6" t="s">
        <v>60</v>
      </c>
      <c r="AO93" s="6" t="str">
        <f t="shared" si="51"/>
        <v>Matched</v>
      </c>
      <c r="AP93" s="6" t="s">
        <v>72</v>
      </c>
      <c r="AQ93" s="6" t="str">
        <f t="shared" si="52"/>
        <v>No Match</v>
      </c>
      <c r="AR93" s="6" t="s">
        <v>60</v>
      </c>
      <c r="AS93" s="6" t="str">
        <f t="shared" si="53"/>
        <v>Matched</v>
      </c>
      <c r="AT93" s="6" t="s">
        <v>60</v>
      </c>
      <c r="AU93" s="6" t="str">
        <f t="shared" si="54"/>
        <v>Matched</v>
      </c>
      <c r="AV93" s="6" t="s">
        <v>60</v>
      </c>
      <c r="AW93" s="6" t="str">
        <f t="shared" si="56"/>
        <v>Matched</v>
      </c>
    </row>
    <row r="94" spans="3:49" x14ac:dyDescent="0.35">
      <c r="C94" s="1" t="s">
        <v>223</v>
      </c>
      <c r="D94" s="18" t="s">
        <v>227</v>
      </c>
      <c r="E94" s="10" t="s">
        <v>228</v>
      </c>
      <c r="F94" s="37">
        <v>0.33333333333333331</v>
      </c>
      <c r="G94" s="35" t="s">
        <v>79</v>
      </c>
      <c r="H94" s="35" t="s">
        <v>136</v>
      </c>
      <c r="I94" s="1">
        <v>91</v>
      </c>
      <c r="J94" s="1" t="s">
        <v>84</v>
      </c>
      <c r="K94" s="1" t="s">
        <v>136</v>
      </c>
      <c r="L94" s="6" t="s">
        <v>79</v>
      </c>
      <c r="M94" s="1" t="str">
        <f t="shared" si="19"/>
        <v>No Match</v>
      </c>
      <c r="N94" s="6" t="s">
        <v>136</v>
      </c>
      <c r="O94" s="1" t="str">
        <f t="shared" si="38"/>
        <v>Matched</v>
      </c>
      <c r="P94" s="1" t="s">
        <v>79</v>
      </c>
      <c r="Q94" s="1" t="str">
        <f t="shared" si="39"/>
        <v>No Match</v>
      </c>
      <c r="R94" s="6" t="s">
        <v>79</v>
      </c>
      <c r="S94" s="6" t="str">
        <f t="shared" si="40"/>
        <v>No Match</v>
      </c>
      <c r="T94" s="6" t="s">
        <v>79</v>
      </c>
      <c r="U94" s="6" t="str">
        <f t="shared" si="41"/>
        <v>No Match</v>
      </c>
      <c r="V94" s="6" t="s">
        <v>79</v>
      </c>
      <c r="W94" s="6" t="str">
        <f t="shared" si="42"/>
        <v>No Match</v>
      </c>
      <c r="X94" s="6" t="s">
        <v>79</v>
      </c>
      <c r="Y94" s="6" t="str">
        <f t="shared" si="43"/>
        <v>No Match</v>
      </c>
      <c r="Z94" s="6" t="s">
        <v>79</v>
      </c>
      <c r="AA94" s="6" t="str">
        <f t="shared" si="44"/>
        <v>No Match</v>
      </c>
      <c r="AB94" s="6" t="s">
        <v>136</v>
      </c>
      <c r="AC94" s="6" t="str">
        <f t="shared" si="45"/>
        <v>Matched</v>
      </c>
      <c r="AD94" s="6" t="s">
        <v>79</v>
      </c>
      <c r="AE94" s="6" t="str">
        <f t="shared" si="46"/>
        <v>No Match</v>
      </c>
      <c r="AF94" s="6" t="s">
        <v>79</v>
      </c>
      <c r="AG94" s="6" t="str">
        <f t="shared" si="47"/>
        <v>No Match</v>
      </c>
      <c r="AH94" s="6" t="s">
        <v>136</v>
      </c>
      <c r="AI94" s="6" t="str">
        <f t="shared" si="48"/>
        <v>Matched</v>
      </c>
      <c r="AJ94" s="6" t="s">
        <v>79</v>
      </c>
      <c r="AK94" s="6" t="str">
        <f t="shared" si="49"/>
        <v>No Match</v>
      </c>
      <c r="AL94" s="6" t="s">
        <v>79</v>
      </c>
      <c r="AM94" s="6" t="str">
        <f t="shared" si="50"/>
        <v>No Match</v>
      </c>
      <c r="AN94" s="6" t="s">
        <v>79</v>
      </c>
      <c r="AO94" s="6" t="str">
        <f t="shared" si="51"/>
        <v>No Match</v>
      </c>
      <c r="AP94" s="6" t="s">
        <v>79</v>
      </c>
      <c r="AQ94" s="6" t="str">
        <f t="shared" si="52"/>
        <v>No Match</v>
      </c>
      <c r="AR94" s="6" t="s">
        <v>79</v>
      </c>
      <c r="AS94" s="6" t="str">
        <f t="shared" si="53"/>
        <v>No Match</v>
      </c>
      <c r="AT94" s="6" t="s">
        <v>79</v>
      </c>
      <c r="AU94" s="6" t="str">
        <f t="shared" si="54"/>
        <v>No Match</v>
      </c>
      <c r="AV94" s="6" t="s">
        <v>79</v>
      </c>
      <c r="AW94" s="6" t="str">
        <f t="shared" si="56"/>
        <v>No Match</v>
      </c>
    </row>
    <row r="95" spans="3:49" x14ac:dyDescent="0.35">
      <c r="C95" s="1" t="s">
        <v>223</v>
      </c>
      <c r="D95" s="18" t="s">
        <v>229</v>
      </c>
      <c r="E95" s="10" t="s">
        <v>228</v>
      </c>
      <c r="F95" s="37">
        <v>0.5</v>
      </c>
      <c r="G95" s="35" t="s">
        <v>51</v>
      </c>
      <c r="H95" s="35" t="s">
        <v>67</v>
      </c>
      <c r="I95" s="1">
        <v>92</v>
      </c>
      <c r="J95" s="1" t="s">
        <v>53</v>
      </c>
      <c r="K95" s="1" t="s">
        <v>67</v>
      </c>
      <c r="L95" s="6" t="s">
        <v>51</v>
      </c>
      <c r="M95" s="1" t="str">
        <f t="shared" si="19"/>
        <v>No Match</v>
      </c>
      <c r="N95" s="6" t="s">
        <v>51</v>
      </c>
      <c r="O95" s="1" t="str">
        <f t="shared" si="38"/>
        <v>No Match</v>
      </c>
      <c r="P95" s="1" t="s">
        <v>67</v>
      </c>
      <c r="Q95" s="1" t="str">
        <f t="shared" si="39"/>
        <v>Matched</v>
      </c>
      <c r="R95" s="6" t="s">
        <v>67</v>
      </c>
      <c r="S95" s="6" t="str">
        <f t="shared" si="40"/>
        <v>Matched</v>
      </c>
      <c r="T95" s="6" t="s">
        <v>51</v>
      </c>
      <c r="U95" s="6" t="str">
        <f t="shared" si="41"/>
        <v>No Match</v>
      </c>
      <c r="V95" s="6" t="s">
        <v>67</v>
      </c>
      <c r="W95" s="6" t="str">
        <f t="shared" si="42"/>
        <v>Matched</v>
      </c>
      <c r="X95" s="6" t="s">
        <v>67</v>
      </c>
      <c r="Y95" s="6" t="str">
        <f t="shared" si="43"/>
        <v>Matched</v>
      </c>
      <c r="Z95" s="6" t="s">
        <v>51</v>
      </c>
      <c r="AA95" s="6" t="str">
        <f t="shared" si="44"/>
        <v>No Match</v>
      </c>
      <c r="AB95" s="6" t="s">
        <v>67</v>
      </c>
      <c r="AC95" s="6" t="str">
        <f t="shared" si="45"/>
        <v>Matched</v>
      </c>
      <c r="AD95" s="6" t="s">
        <v>67</v>
      </c>
      <c r="AE95" s="6" t="str">
        <f t="shared" si="46"/>
        <v>Matched</v>
      </c>
      <c r="AF95" s="6" t="s">
        <v>67</v>
      </c>
      <c r="AG95" s="6" t="str">
        <f t="shared" si="47"/>
        <v>Matched</v>
      </c>
      <c r="AH95" s="6" t="s">
        <v>67</v>
      </c>
      <c r="AI95" s="6" t="str">
        <f t="shared" si="48"/>
        <v>Matched</v>
      </c>
      <c r="AJ95" s="6" t="s">
        <v>67</v>
      </c>
      <c r="AK95" s="6" t="str">
        <f t="shared" si="49"/>
        <v>Matched</v>
      </c>
      <c r="AL95" s="6" t="s">
        <v>51</v>
      </c>
      <c r="AM95" s="6" t="str">
        <f t="shared" si="50"/>
        <v>No Match</v>
      </c>
      <c r="AN95" s="6" t="s">
        <v>67</v>
      </c>
      <c r="AO95" s="6" t="str">
        <f t="shared" si="51"/>
        <v>Matched</v>
      </c>
      <c r="AP95" s="6" t="s">
        <v>51</v>
      </c>
      <c r="AQ95" s="6" t="str">
        <f t="shared" si="52"/>
        <v>No Match</v>
      </c>
      <c r="AR95" s="6" t="s">
        <v>51</v>
      </c>
      <c r="AS95" s="6" t="str">
        <f t="shared" si="53"/>
        <v>No Match</v>
      </c>
      <c r="AT95" s="6" t="s">
        <v>51</v>
      </c>
      <c r="AU95" s="6" t="str">
        <f t="shared" si="54"/>
        <v>No Match</v>
      </c>
      <c r="AV95" s="6" t="s">
        <v>67</v>
      </c>
      <c r="AW95" s="6" t="str">
        <f t="shared" si="56"/>
        <v>Matched</v>
      </c>
    </row>
    <row r="96" spans="3:49" x14ac:dyDescent="0.35">
      <c r="C96" s="1" t="s">
        <v>223</v>
      </c>
      <c r="D96" s="18" t="s">
        <v>230</v>
      </c>
      <c r="E96" s="10" t="s">
        <v>231</v>
      </c>
      <c r="F96" s="37">
        <v>0.29166666666666669</v>
      </c>
      <c r="G96" s="35" t="s">
        <v>74</v>
      </c>
      <c r="H96" s="35" t="s">
        <v>54</v>
      </c>
      <c r="I96" s="1">
        <v>93</v>
      </c>
      <c r="J96" s="1" t="s">
        <v>105</v>
      </c>
      <c r="K96" s="1" t="s">
        <v>54</v>
      </c>
      <c r="L96" s="6" t="s">
        <v>54</v>
      </c>
      <c r="M96" s="1" t="str">
        <f t="shared" si="19"/>
        <v>Matched</v>
      </c>
      <c r="N96" s="6" t="s">
        <v>54</v>
      </c>
      <c r="O96" s="1" t="str">
        <f t="shared" si="38"/>
        <v>Matched</v>
      </c>
      <c r="P96" s="1" t="s">
        <v>54</v>
      </c>
      <c r="Q96" s="1" t="str">
        <f t="shared" si="39"/>
        <v>Matched</v>
      </c>
      <c r="R96" s="6" t="s">
        <v>74</v>
      </c>
      <c r="S96" s="6" t="str">
        <f t="shared" si="40"/>
        <v>No Match</v>
      </c>
      <c r="T96" s="29" t="s">
        <v>54</v>
      </c>
      <c r="U96" s="6" t="str">
        <f t="shared" si="41"/>
        <v>Matched</v>
      </c>
      <c r="V96" s="6" t="s">
        <v>54</v>
      </c>
      <c r="W96" s="6" t="str">
        <f t="shared" si="42"/>
        <v>Matched</v>
      </c>
      <c r="X96" s="6" t="s">
        <v>74</v>
      </c>
      <c r="Y96" s="6" t="str">
        <f t="shared" si="43"/>
        <v>No Match</v>
      </c>
      <c r="Z96" s="35" t="s">
        <v>74</v>
      </c>
      <c r="AA96" s="6" t="str">
        <f t="shared" si="44"/>
        <v>No Match</v>
      </c>
      <c r="AB96" s="30" t="s">
        <v>74</v>
      </c>
      <c r="AC96" s="6" t="str">
        <f t="shared" si="45"/>
        <v>No Match</v>
      </c>
      <c r="AD96" s="6" t="s">
        <v>54</v>
      </c>
      <c r="AE96" s="6" t="str">
        <f t="shared" si="46"/>
        <v>Matched</v>
      </c>
      <c r="AF96" s="6" t="s">
        <v>74</v>
      </c>
      <c r="AG96" s="6" t="str">
        <f t="shared" si="47"/>
        <v>No Match</v>
      </c>
      <c r="AH96" s="6" t="s">
        <v>54</v>
      </c>
      <c r="AI96" s="6" t="str">
        <f t="shared" si="48"/>
        <v>Matched</v>
      </c>
      <c r="AJ96" s="30" t="str">
        <f>AN86</f>
        <v>Portugal</v>
      </c>
      <c r="AK96" s="6" t="str">
        <f t="shared" si="49"/>
        <v>No Match</v>
      </c>
      <c r="AL96" s="6" t="s">
        <v>54</v>
      </c>
      <c r="AM96" s="6" t="str">
        <f t="shared" si="50"/>
        <v>Matched</v>
      </c>
      <c r="AN96" s="6" t="s">
        <v>74</v>
      </c>
      <c r="AO96" s="6" t="str">
        <f t="shared" si="51"/>
        <v>No Match</v>
      </c>
      <c r="AP96" s="6" t="s">
        <v>74</v>
      </c>
      <c r="AQ96" s="6" t="str">
        <f t="shared" si="52"/>
        <v>No Match</v>
      </c>
      <c r="AR96" s="6" t="s">
        <v>54</v>
      </c>
      <c r="AS96" s="6" t="str">
        <f t="shared" si="53"/>
        <v>Matched</v>
      </c>
      <c r="AT96" s="6" t="s">
        <v>54</v>
      </c>
      <c r="AU96" s="6" t="str">
        <f t="shared" si="54"/>
        <v>Matched</v>
      </c>
      <c r="AV96" s="6" t="s">
        <v>54</v>
      </c>
      <c r="AW96" s="6" t="str">
        <f t="shared" si="56"/>
        <v>Matched</v>
      </c>
    </row>
    <row r="97" spans="3:49" x14ac:dyDescent="0.35">
      <c r="C97" s="1" t="s">
        <v>223</v>
      </c>
      <c r="D97" s="18" t="s">
        <v>232</v>
      </c>
      <c r="E97" s="10" t="s">
        <v>231</v>
      </c>
      <c r="F97" s="37">
        <v>0.5</v>
      </c>
      <c r="G97" s="35" t="s">
        <v>71</v>
      </c>
      <c r="H97" s="35" t="s">
        <v>96</v>
      </c>
      <c r="I97" s="1">
        <v>94</v>
      </c>
      <c r="J97" s="1" t="s">
        <v>124</v>
      </c>
      <c r="K97" s="1" t="s">
        <v>96</v>
      </c>
      <c r="L97" s="6" t="s">
        <v>71</v>
      </c>
      <c r="M97" s="1" t="str">
        <f t="shared" si="19"/>
        <v>No Match</v>
      </c>
      <c r="N97" s="6" t="s">
        <v>96</v>
      </c>
      <c r="O97" s="1" t="str">
        <f t="shared" si="38"/>
        <v>Matched</v>
      </c>
      <c r="P97" s="1" t="s">
        <v>71</v>
      </c>
      <c r="Q97" s="1" t="str">
        <f t="shared" si="39"/>
        <v>No Match</v>
      </c>
      <c r="R97" s="6" t="s">
        <v>71</v>
      </c>
      <c r="S97" s="6" t="str">
        <f t="shared" si="40"/>
        <v>No Match</v>
      </c>
      <c r="T97" s="29" t="s">
        <v>96</v>
      </c>
      <c r="U97" s="6" t="str">
        <f t="shared" si="41"/>
        <v>Matched</v>
      </c>
      <c r="V97" s="6" t="s">
        <v>71</v>
      </c>
      <c r="W97" s="6" t="str">
        <f t="shared" si="42"/>
        <v>No Match</v>
      </c>
      <c r="X97" s="6" t="s">
        <v>96</v>
      </c>
      <c r="Y97" s="6" t="str">
        <f t="shared" si="43"/>
        <v>Matched</v>
      </c>
      <c r="Z97" s="35" t="s">
        <v>96</v>
      </c>
      <c r="AA97" s="6" t="str">
        <f t="shared" si="44"/>
        <v>Matched</v>
      </c>
      <c r="AB97" s="6" t="s">
        <v>71</v>
      </c>
      <c r="AC97" s="6" t="str">
        <f t="shared" si="45"/>
        <v>No Match</v>
      </c>
      <c r="AD97" s="6" t="s">
        <v>96</v>
      </c>
      <c r="AE97" s="6" t="str">
        <f t="shared" si="46"/>
        <v>Matched</v>
      </c>
      <c r="AF97" s="6" t="s">
        <v>71</v>
      </c>
      <c r="AG97" s="6" t="str">
        <f t="shared" si="47"/>
        <v>No Match</v>
      </c>
      <c r="AH97" s="6" t="s">
        <v>71</v>
      </c>
      <c r="AI97" s="6" t="str">
        <f t="shared" si="48"/>
        <v>No Match</v>
      </c>
      <c r="AJ97" s="6" t="s">
        <v>96</v>
      </c>
      <c r="AK97" s="6" t="str">
        <f t="shared" si="49"/>
        <v>Matched</v>
      </c>
      <c r="AL97" s="6" t="s">
        <v>96</v>
      </c>
      <c r="AM97" s="6" t="str">
        <f t="shared" si="50"/>
        <v>Matched</v>
      </c>
      <c r="AN97" s="6" t="s">
        <v>96</v>
      </c>
      <c r="AO97" s="6" t="str">
        <f t="shared" si="51"/>
        <v>Matched</v>
      </c>
      <c r="AP97" s="6" t="s">
        <v>96</v>
      </c>
      <c r="AQ97" s="6" t="str">
        <f t="shared" si="52"/>
        <v>Matched</v>
      </c>
      <c r="AR97" s="6" t="s">
        <v>71</v>
      </c>
      <c r="AS97" s="6" t="str">
        <f t="shared" si="53"/>
        <v>No Match</v>
      </c>
      <c r="AT97" s="6" t="s">
        <v>71</v>
      </c>
      <c r="AU97" s="6" t="str">
        <f t="shared" si="54"/>
        <v>No Match</v>
      </c>
      <c r="AV97" s="6" t="s">
        <v>71</v>
      </c>
      <c r="AW97" s="6" t="str">
        <f t="shared" si="56"/>
        <v>No Match</v>
      </c>
    </row>
    <row r="98" spans="3:49" x14ac:dyDescent="0.35">
      <c r="C98" s="1" t="s">
        <v>223</v>
      </c>
      <c r="D98" s="18" t="s">
        <v>233</v>
      </c>
      <c r="E98" s="10" t="s">
        <v>234</v>
      </c>
      <c r="F98" s="37">
        <v>0.16666666666666666</v>
      </c>
      <c r="G98" s="35" t="s">
        <v>48</v>
      </c>
      <c r="H98" s="35" t="s">
        <v>123</v>
      </c>
      <c r="I98" s="1">
        <v>95</v>
      </c>
      <c r="J98" s="1" t="s">
        <v>119</v>
      </c>
      <c r="K98" s="29" t="s">
        <v>48</v>
      </c>
      <c r="L98" s="35" t="s">
        <v>48</v>
      </c>
      <c r="M98" s="1" t="str">
        <f t="shared" si="19"/>
        <v>Matched</v>
      </c>
      <c r="N98" s="33" t="s">
        <v>48</v>
      </c>
      <c r="O98" s="1" t="str">
        <f t="shared" si="38"/>
        <v>Matched</v>
      </c>
      <c r="P98" s="1" t="s">
        <v>48</v>
      </c>
      <c r="Q98" s="1" t="str">
        <f t="shared" si="39"/>
        <v>Matched</v>
      </c>
      <c r="R98" s="35" t="s">
        <v>48</v>
      </c>
      <c r="S98" s="6" t="str">
        <f t="shared" si="40"/>
        <v>Matched</v>
      </c>
      <c r="T98" s="31" t="s">
        <v>48</v>
      </c>
      <c r="U98" s="6" t="str">
        <f t="shared" si="41"/>
        <v>Matched</v>
      </c>
      <c r="W98" s="6" t="str">
        <f t="shared" si="42"/>
        <v>No Match</v>
      </c>
      <c r="X98" s="6" t="s">
        <v>48</v>
      </c>
      <c r="Y98" s="6" t="str">
        <f t="shared" si="43"/>
        <v>Matched</v>
      </c>
      <c r="Z98" s="35" t="s">
        <v>48</v>
      </c>
      <c r="AA98" s="6" t="str">
        <f t="shared" si="44"/>
        <v>Matched</v>
      </c>
      <c r="AB98" s="39" t="s">
        <v>48</v>
      </c>
      <c r="AC98" s="6" t="str">
        <f t="shared" si="45"/>
        <v>Matched</v>
      </c>
      <c r="AD98" s="32" t="s">
        <v>48</v>
      </c>
      <c r="AE98" s="6" t="str">
        <f t="shared" si="46"/>
        <v>Matched</v>
      </c>
      <c r="AF98" s="6" t="s">
        <v>48</v>
      </c>
      <c r="AG98" s="6" t="str">
        <f t="shared" si="47"/>
        <v>Matched</v>
      </c>
      <c r="AH98" s="6" t="s">
        <v>48</v>
      </c>
      <c r="AI98" s="6" t="str">
        <f t="shared" si="48"/>
        <v>Matched</v>
      </c>
      <c r="AJ98" s="6" t="s">
        <v>48</v>
      </c>
      <c r="AK98" s="6" t="str">
        <f t="shared" si="49"/>
        <v>Matched</v>
      </c>
      <c r="AL98" s="6" t="s">
        <v>48</v>
      </c>
      <c r="AM98" s="6" t="str">
        <f t="shared" si="50"/>
        <v>Matched</v>
      </c>
      <c r="AN98" s="6" t="s">
        <v>48</v>
      </c>
      <c r="AO98" s="6" t="str">
        <f t="shared" si="51"/>
        <v>Matched</v>
      </c>
      <c r="AP98" s="6" t="s">
        <v>48</v>
      </c>
      <c r="AQ98" s="6" t="str">
        <f t="shared" si="52"/>
        <v>Matched</v>
      </c>
      <c r="AR98" s="6" t="s">
        <v>48</v>
      </c>
      <c r="AS98" s="6" t="str">
        <f t="shared" si="53"/>
        <v>Matched</v>
      </c>
      <c r="AT98" s="6" t="s">
        <v>48</v>
      </c>
      <c r="AU98" s="6" t="str">
        <f t="shared" si="54"/>
        <v>Matched</v>
      </c>
      <c r="AV98" s="6" t="s">
        <v>48</v>
      </c>
      <c r="AW98" s="6" t="str">
        <f t="shared" si="56"/>
        <v>Matched</v>
      </c>
    </row>
    <row r="99" spans="3:49" x14ac:dyDescent="0.35">
      <c r="C99" s="1" t="s">
        <v>223</v>
      </c>
      <c r="D99" s="18" t="s">
        <v>235</v>
      </c>
      <c r="E99" s="10" t="s">
        <v>234</v>
      </c>
      <c r="F99" s="37">
        <v>0.33333333333333331</v>
      </c>
      <c r="G99" s="35" t="s">
        <v>77</v>
      </c>
      <c r="H99" s="35" t="s">
        <v>111</v>
      </c>
      <c r="I99" s="1">
        <v>96</v>
      </c>
      <c r="J99" s="1" t="s">
        <v>94</v>
      </c>
      <c r="K99" s="35" t="s">
        <v>77</v>
      </c>
      <c r="L99" s="35" t="s">
        <v>111</v>
      </c>
      <c r="M99" s="1" t="str">
        <f t="shared" si="19"/>
        <v>No Match</v>
      </c>
      <c r="N99" s="33" t="s">
        <v>111</v>
      </c>
      <c r="O99" s="1" t="str">
        <f t="shared" si="38"/>
        <v>No Match</v>
      </c>
      <c r="P99" s="1" t="s">
        <v>111</v>
      </c>
      <c r="Q99" s="1" t="str">
        <f t="shared" si="39"/>
        <v>No Match</v>
      </c>
      <c r="R99" s="35" t="s">
        <v>111</v>
      </c>
      <c r="S99" s="6" t="str">
        <f t="shared" si="40"/>
        <v>No Match</v>
      </c>
      <c r="T99" s="31" t="s">
        <v>111</v>
      </c>
      <c r="U99" s="6" t="str">
        <f t="shared" si="41"/>
        <v>No Match</v>
      </c>
      <c r="V99" s="6" t="s">
        <v>111</v>
      </c>
      <c r="W99" s="6" t="str">
        <f>IF(ISBLANK(K99),"TBP",IF(V99=K99,"Matched","No Match"))</f>
        <v>No Match</v>
      </c>
      <c r="X99" s="6" t="s">
        <v>77</v>
      </c>
      <c r="Y99" s="6" t="str">
        <f t="shared" si="43"/>
        <v>Matched</v>
      </c>
      <c r="Z99" s="35" t="s">
        <v>77</v>
      </c>
      <c r="AA99" s="6" t="str">
        <f t="shared" si="44"/>
        <v>Matched</v>
      </c>
      <c r="AB99" s="35" t="s">
        <v>77</v>
      </c>
      <c r="AC99" s="6" t="str">
        <f t="shared" si="45"/>
        <v>Matched</v>
      </c>
      <c r="AD99" s="6" t="s">
        <v>111</v>
      </c>
      <c r="AE99" s="6" t="str">
        <f t="shared" si="46"/>
        <v>No Match</v>
      </c>
      <c r="AF99" s="31" t="s">
        <v>77</v>
      </c>
      <c r="AG99" s="6" t="str">
        <f t="shared" si="47"/>
        <v>Matched</v>
      </c>
      <c r="AH99" s="6" t="s">
        <v>236</v>
      </c>
      <c r="AI99" s="6" t="str">
        <f t="shared" si="48"/>
        <v>No Match</v>
      </c>
      <c r="AJ99" s="31" t="s">
        <v>77</v>
      </c>
      <c r="AK99" s="6" t="str">
        <f t="shared" si="49"/>
        <v>Matched</v>
      </c>
      <c r="AL99" s="6" t="s">
        <v>111</v>
      </c>
      <c r="AM99" s="6" t="str">
        <f t="shared" si="50"/>
        <v>No Match</v>
      </c>
      <c r="AN99" s="6" t="s">
        <v>111</v>
      </c>
      <c r="AO99" s="6" t="str">
        <f t="shared" si="51"/>
        <v>No Match</v>
      </c>
      <c r="AP99" s="6" t="s">
        <v>77</v>
      </c>
      <c r="AQ99" s="6" t="str">
        <f t="shared" si="52"/>
        <v>Matched</v>
      </c>
      <c r="AR99" s="6" t="s">
        <v>111</v>
      </c>
      <c r="AS99" s="6" t="str">
        <f t="shared" si="53"/>
        <v>No Match</v>
      </c>
      <c r="AT99" s="6" t="s">
        <v>77</v>
      </c>
      <c r="AU99" s="6" t="str">
        <f t="shared" si="54"/>
        <v>Matched</v>
      </c>
      <c r="AV99" s="6" t="s">
        <v>111</v>
      </c>
      <c r="AW99" s="6" t="str">
        <f t="shared" si="56"/>
        <v>No Match</v>
      </c>
    </row>
    <row r="100" spans="3:49" x14ac:dyDescent="0.35">
      <c r="C100" s="1"/>
      <c r="D100" s="18"/>
      <c r="E100" s="26"/>
      <c r="F100" s="37">
        <v>0.33333333333333331</v>
      </c>
      <c r="G100" s="35" t="s">
        <v>237</v>
      </c>
      <c r="H100" s="35" t="s">
        <v>237</v>
      </c>
      <c r="I100" s="1"/>
      <c r="J100" s="1"/>
      <c r="K100" s="1"/>
      <c r="M100" s="1" t="str">
        <f t="shared" si="19"/>
        <v>TBP</v>
      </c>
      <c r="N100" s="34"/>
      <c r="O100" s="1" t="str">
        <f t="shared" si="38"/>
        <v>TBP</v>
      </c>
      <c r="P100" s="1"/>
      <c r="Q100" s="1" t="str">
        <f t="shared" si="39"/>
        <v>TBP</v>
      </c>
      <c r="S100" s="6" t="str">
        <f t="shared" si="40"/>
        <v>TBP</v>
      </c>
      <c r="U100" s="6" t="str">
        <f t="shared" si="41"/>
        <v>TBP</v>
      </c>
      <c r="W100" s="6" t="str">
        <f t="shared" si="42"/>
        <v>TBP</v>
      </c>
      <c r="Y100" s="6" t="str">
        <f t="shared" si="43"/>
        <v>TBP</v>
      </c>
      <c r="AA100" s="6" t="str">
        <f t="shared" si="44"/>
        <v>TBP</v>
      </c>
      <c r="AC100" s="6" t="str">
        <f t="shared" si="45"/>
        <v>TBP</v>
      </c>
      <c r="AE100" s="6" t="str">
        <f t="shared" si="46"/>
        <v>TBP</v>
      </c>
      <c r="AG100" s="6" t="str">
        <f t="shared" si="47"/>
        <v>TBP</v>
      </c>
      <c r="AI100" s="6" t="str">
        <f t="shared" si="48"/>
        <v>TBP</v>
      </c>
      <c r="AK100" s="6" t="str">
        <f t="shared" si="49"/>
        <v>TBP</v>
      </c>
      <c r="AM100" s="6" t="str">
        <f t="shared" si="50"/>
        <v>TBP</v>
      </c>
      <c r="AO100" s="6" t="str">
        <f t="shared" si="51"/>
        <v>TBP</v>
      </c>
      <c r="AQ100" s="6" t="str">
        <f t="shared" si="52"/>
        <v>TBP</v>
      </c>
      <c r="AS100" s="6" t="str">
        <f t="shared" si="53"/>
        <v>TBP</v>
      </c>
      <c r="AU100" s="6" t="str">
        <f t="shared" si="54"/>
        <v>TBP</v>
      </c>
      <c r="AW100" s="6" t="str">
        <f t="shared" si="56"/>
        <v>TBP</v>
      </c>
    </row>
    <row r="101" spans="3:49" x14ac:dyDescent="0.35">
      <c r="C101" s="1" t="s">
        <v>238</v>
      </c>
      <c r="D101" s="18" t="s">
        <v>239</v>
      </c>
      <c r="E101" s="10" t="s">
        <v>240</v>
      </c>
      <c r="F101" s="37">
        <v>0.33333333333333331</v>
      </c>
      <c r="G101" s="35" t="s">
        <v>60</v>
      </c>
      <c r="H101" s="35" t="s">
        <v>83</v>
      </c>
      <c r="I101" s="1">
        <v>97</v>
      </c>
      <c r="J101" s="1" t="s">
        <v>88</v>
      </c>
      <c r="K101" s="1" t="s">
        <v>60</v>
      </c>
      <c r="L101" s="6" t="s">
        <v>83</v>
      </c>
      <c r="M101" s="1" t="str">
        <f t="shared" si="19"/>
        <v>No Match</v>
      </c>
      <c r="N101" s="33" t="s">
        <v>60</v>
      </c>
      <c r="O101" s="1" t="str">
        <f t="shared" si="38"/>
        <v>Matched</v>
      </c>
      <c r="P101" s="1" t="s">
        <v>83</v>
      </c>
      <c r="Q101" s="1" t="str">
        <f t="shared" si="39"/>
        <v>No Match</v>
      </c>
      <c r="R101" s="35" t="s">
        <v>60</v>
      </c>
      <c r="S101" s="6" t="str">
        <f t="shared" si="40"/>
        <v>Matched</v>
      </c>
      <c r="T101" s="31" t="s">
        <v>83</v>
      </c>
      <c r="U101" s="6" t="str">
        <f t="shared" si="41"/>
        <v>No Match</v>
      </c>
      <c r="V101" s="6" t="s">
        <v>60</v>
      </c>
      <c r="W101" s="6" t="str">
        <f>IF(ISBLANK(K101),"TBP",IF(V101=K101,"Matched","No Match"))</f>
        <v>Matched</v>
      </c>
      <c r="X101" s="6" t="s">
        <v>60</v>
      </c>
      <c r="Y101" s="6" t="str">
        <f t="shared" si="43"/>
        <v>Matched</v>
      </c>
      <c r="Z101" s="35" t="s">
        <v>60</v>
      </c>
      <c r="AA101" s="6" t="str">
        <f t="shared" si="44"/>
        <v>Matched</v>
      </c>
      <c r="AB101" s="6" t="s">
        <v>60</v>
      </c>
      <c r="AC101" s="6" t="str">
        <f t="shared" si="45"/>
        <v>Matched</v>
      </c>
      <c r="AD101" s="6" t="s">
        <v>60</v>
      </c>
      <c r="AE101" s="6" t="str">
        <f t="shared" si="46"/>
        <v>Matched</v>
      </c>
      <c r="AF101" s="31" t="s">
        <v>60</v>
      </c>
      <c r="AG101" s="6" t="str">
        <f t="shared" si="47"/>
        <v>Matched</v>
      </c>
      <c r="AH101" s="6" t="s">
        <v>60</v>
      </c>
      <c r="AI101" s="6" t="str">
        <f t="shared" si="48"/>
        <v>Matched</v>
      </c>
      <c r="AJ101" s="6" t="s">
        <v>60</v>
      </c>
      <c r="AK101" s="6" t="str">
        <f t="shared" si="49"/>
        <v>Matched</v>
      </c>
      <c r="AL101" s="6" t="s">
        <v>60</v>
      </c>
      <c r="AM101" s="6" t="str">
        <f t="shared" si="50"/>
        <v>Matched</v>
      </c>
      <c r="AN101" s="6" t="s">
        <v>60</v>
      </c>
      <c r="AO101" s="6" t="str">
        <f t="shared" si="51"/>
        <v>Matched</v>
      </c>
      <c r="AP101" s="6" t="s">
        <v>83</v>
      </c>
      <c r="AQ101" s="6" t="str">
        <f t="shared" si="52"/>
        <v>No Match</v>
      </c>
      <c r="AR101" s="6" t="s">
        <v>60</v>
      </c>
      <c r="AS101" s="6" t="str">
        <f t="shared" si="53"/>
        <v>Matched</v>
      </c>
      <c r="AT101" s="6" t="s">
        <v>60</v>
      </c>
      <c r="AU101" s="6" t="str">
        <f t="shared" si="54"/>
        <v>Matched</v>
      </c>
      <c r="AV101" s="6" t="s">
        <v>60</v>
      </c>
      <c r="AW101" s="6" t="str">
        <f t="shared" si="56"/>
        <v>Matched</v>
      </c>
    </row>
    <row r="102" spans="3:49" x14ac:dyDescent="0.35">
      <c r="C102" s="1" t="s">
        <v>238</v>
      </c>
      <c r="D102" s="18" t="s">
        <v>241</v>
      </c>
      <c r="E102" s="10" t="s">
        <v>242</v>
      </c>
      <c r="F102" s="37">
        <v>0.29166666666666669</v>
      </c>
      <c r="G102" s="35" t="s">
        <v>54</v>
      </c>
      <c r="H102" s="35" t="s">
        <v>96</v>
      </c>
      <c r="I102" s="1">
        <v>98</v>
      </c>
      <c r="J102" s="1" t="s">
        <v>171</v>
      </c>
      <c r="K102" s="1" t="s">
        <v>54</v>
      </c>
      <c r="L102" s="6" t="s">
        <v>54</v>
      </c>
      <c r="M102" s="1" t="str">
        <f t="shared" si="19"/>
        <v>Matched</v>
      </c>
      <c r="N102" s="6" t="s">
        <v>96</v>
      </c>
      <c r="O102" s="1" t="str">
        <f t="shared" si="38"/>
        <v>No Match</v>
      </c>
      <c r="P102" s="1" t="s">
        <v>54</v>
      </c>
      <c r="Q102" s="1" t="str">
        <f t="shared" si="39"/>
        <v>Matched</v>
      </c>
      <c r="R102" s="30" t="str">
        <f>V96</f>
        <v>Spain</v>
      </c>
      <c r="S102" s="6" t="str">
        <f t="shared" si="40"/>
        <v>Matched</v>
      </c>
      <c r="T102" s="6" t="s">
        <v>96</v>
      </c>
      <c r="U102" s="6" t="str">
        <f t="shared" si="41"/>
        <v>No Match</v>
      </c>
      <c r="V102" s="6" t="s">
        <v>54</v>
      </c>
      <c r="W102" s="6" t="str">
        <f t="shared" si="42"/>
        <v>Matched</v>
      </c>
      <c r="X102" s="6" t="s">
        <v>54</v>
      </c>
      <c r="Y102" s="6" t="str">
        <f t="shared" si="43"/>
        <v>Matched</v>
      </c>
      <c r="Z102" s="35" t="s">
        <v>54</v>
      </c>
      <c r="AA102" s="6" t="str">
        <f t="shared" si="44"/>
        <v>Matched</v>
      </c>
      <c r="AB102" s="29" t="s">
        <v>96</v>
      </c>
      <c r="AC102" s="6" t="str">
        <f t="shared" si="45"/>
        <v>No Match</v>
      </c>
      <c r="AD102" s="6" t="s">
        <v>54</v>
      </c>
      <c r="AE102" s="6" t="str">
        <f t="shared" si="46"/>
        <v>Matched</v>
      </c>
      <c r="AF102" s="6" t="s">
        <v>54</v>
      </c>
      <c r="AG102" s="6" t="str">
        <f t="shared" si="47"/>
        <v>Matched</v>
      </c>
      <c r="AH102" s="6" t="s">
        <v>96</v>
      </c>
      <c r="AI102" s="6" t="str">
        <f t="shared" si="48"/>
        <v>No Match</v>
      </c>
      <c r="AJ102" s="6" t="s">
        <v>54</v>
      </c>
      <c r="AK102" s="6" t="str">
        <f t="shared" si="49"/>
        <v>Matched</v>
      </c>
      <c r="AL102" s="6" t="s">
        <v>54</v>
      </c>
      <c r="AM102" s="6" t="str">
        <f t="shared" si="50"/>
        <v>Matched</v>
      </c>
      <c r="AN102" s="6" t="s">
        <v>54</v>
      </c>
      <c r="AO102" s="6" t="str">
        <f t="shared" si="51"/>
        <v>Matched</v>
      </c>
      <c r="AP102" s="6" t="s">
        <v>243</v>
      </c>
      <c r="AQ102" s="6" t="str">
        <f t="shared" si="52"/>
        <v>Matched</v>
      </c>
      <c r="AR102" s="6" t="s">
        <v>54</v>
      </c>
      <c r="AS102" s="6" t="str">
        <f t="shared" si="53"/>
        <v>Matched</v>
      </c>
      <c r="AT102" s="6" t="s">
        <v>54</v>
      </c>
      <c r="AU102" s="6" t="str">
        <f t="shared" si="54"/>
        <v>Matched</v>
      </c>
      <c r="AV102" s="6" t="s">
        <v>54</v>
      </c>
      <c r="AW102" s="6" t="str">
        <f t="shared" si="56"/>
        <v>Matched</v>
      </c>
    </row>
    <row r="103" spans="3:49" ht="15.75" customHeight="1" x14ac:dyDescent="0.35">
      <c r="C103" s="1" t="s">
        <v>238</v>
      </c>
      <c r="D103" s="18" t="s">
        <v>244</v>
      </c>
      <c r="E103" s="10" t="s">
        <v>245</v>
      </c>
      <c r="F103" s="37">
        <v>0.375</v>
      </c>
      <c r="G103" s="35" t="s">
        <v>136</v>
      </c>
      <c r="H103" s="35" t="s">
        <v>67</v>
      </c>
      <c r="I103" s="1">
        <v>99</v>
      </c>
      <c r="J103" s="1" t="s">
        <v>128</v>
      </c>
      <c r="K103" s="1" t="s">
        <v>67</v>
      </c>
      <c r="L103" s="6" t="s">
        <v>67</v>
      </c>
      <c r="M103" s="1" t="str">
        <f t="shared" si="19"/>
        <v>Matched</v>
      </c>
      <c r="N103" s="6" t="s">
        <v>67</v>
      </c>
      <c r="O103" s="1" t="str">
        <f t="shared" si="38"/>
        <v>Matched</v>
      </c>
      <c r="P103" s="1" t="s">
        <v>67</v>
      </c>
      <c r="Q103" s="1" t="str">
        <f t="shared" si="39"/>
        <v>Matched</v>
      </c>
      <c r="R103" s="29" t="s">
        <v>67</v>
      </c>
      <c r="S103" s="6" t="str">
        <f t="shared" si="40"/>
        <v>Matched</v>
      </c>
      <c r="T103" s="6" t="s">
        <v>136</v>
      </c>
      <c r="U103" s="6" t="str">
        <f t="shared" si="41"/>
        <v>No Match</v>
      </c>
      <c r="V103" s="6" t="s">
        <v>67</v>
      </c>
      <c r="W103" s="6" t="str">
        <f t="shared" si="42"/>
        <v>Matched</v>
      </c>
      <c r="X103" s="6" t="s">
        <v>67</v>
      </c>
      <c r="Y103" s="6" t="str">
        <f t="shared" si="43"/>
        <v>Matched</v>
      </c>
      <c r="Z103" s="35" t="s">
        <v>136</v>
      </c>
      <c r="AA103" s="6" t="str">
        <f t="shared" si="44"/>
        <v>No Match</v>
      </c>
      <c r="AB103" s="29" t="s">
        <v>67</v>
      </c>
      <c r="AC103" s="6" t="str">
        <f t="shared" si="45"/>
        <v>Matched</v>
      </c>
      <c r="AD103" s="6" t="s">
        <v>67</v>
      </c>
      <c r="AE103" s="6" t="str">
        <f t="shared" si="46"/>
        <v>Matched</v>
      </c>
      <c r="AF103" s="6" t="s">
        <v>67</v>
      </c>
      <c r="AG103" s="6" t="str">
        <f t="shared" si="47"/>
        <v>Matched</v>
      </c>
      <c r="AH103" s="6" t="s">
        <v>67</v>
      </c>
      <c r="AI103" s="6" t="str">
        <f t="shared" si="48"/>
        <v>Matched</v>
      </c>
      <c r="AJ103" s="6" t="s">
        <v>136</v>
      </c>
      <c r="AK103" s="6" t="str">
        <f t="shared" si="49"/>
        <v>No Match</v>
      </c>
      <c r="AL103" s="6" t="s">
        <v>67</v>
      </c>
      <c r="AM103" s="6" t="str">
        <f t="shared" si="50"/>
        <v>Matched</v>
      </c>
      <c r="AN103" s="6" t="s">
        <v>67</v>
      </c>
      <c r="AO103" s="6" t="str">
        <f t="shared" si="51"/>
        <v>Matched</v>
      </c>
      <c r="AP103" s="6" t="s">
        <v>246</v>
      </c>
      <c r="AQ103" s="6" t="str">
        <f t="shared" si="52"/>
        <v>No Match</v>
      </c>
      <c r="AR103" s="6" t="s">
        <v>67</v>
      </c>
      <c r="AS103" s="6" t="str">
        <f t="shared" si="53"/>
        <v>Matched</v>
      </c>
      <c r="AT103" s="35" t="s">
        <v>136</v>
      </c>
      <c r="AU103" s="6" t="str">
        <f t="shared" si="54"/>
        <v>No Match</v>
      </c>
      <c r="AV103" s="6" t="s">
        <v>136</v>
      </c>
      <c r="AW103" s="6" t="str">
        <f t="shared" si="56"/>
        <v>No Match</v>
      </c>
    </row>
    <row r="104" spans="3:49" x14ac:dyDescent="0.35">
      <c r="C104" s="1" t="s">
        <v>238</v>
      </c>
      <c r="D104" s="18" t="s">
        <v>247</v>
      </c>
      <c r="E104" s="10" t="s">
        <v>245</v>
      </c>
      <c r="F104" s="37">
        <v>0.54166666666666663</v>
      </c>
      <c r="G104" s="35" t="s">
        <v>48</v>
      </c>
      <c r="H104" s="1" t="s">
        <v>77</v>
      </c>
      <c r="I104" s="1">
        <v>100</v>
      </c>
      <c r="J104" s="1" t="s">
        <v>140</v>
      </c>
      <c r="K104" s="1" t="s">
        <v>48</v>
      </c>
      <c r="L104" s="6" t="s">
        <v>48</v>
      </c>
      <c r="M104" s="1" t="str">
        <f t="shared" si="19"/>
        <v>Matched</v>
      </c>
      <c r="N104" s="30" t="str">
        <f>R98</f>
        <v>Argentina</v>
      </c>
      <c r="O104" s="1" t="str">
        <f t="shared" si="38"/>
        <v>Matched</v>
      </c>
      <c r="P104" s="1" t="s">
        <v>48</v>
      </c>
      <c r="Q104" s="1" t="str">
        <f t="shared" si="39"/>
        <v>Matched</v>
      </c>
      <c r="S104" s="6" t="str">
        <f t="shared" si="40"/>
        <v>No Match</v>
      </c>
      <c r="U104" s="6" t="str">
        <f t="shared" si="41"/>
        <v>No Match</v>
      </c>
      <c r="V104" s="6" t="s">
        <v>48</v>
      </c>
      <c r="W104" s="6" t="str">
        <f t="shared" si="42"/>
        <v>Matched</v>
      </c>
      <c r="X104" s="6" t="s">
        <v>48</v>
      </c>
      <c r="Y104" s="6" t="str">
        <f t="shared" si="43"/>
        <v>Matched</v>
      </c>
      <c r="Z104" s="6" t="s">
        <v>48</v>
      </c>
      <c r="AA104" s="6" t="str">
        <f t="shared" si="44"/>
        <v>Matched</v>
      </c>
      <c r="AB104" s="35"/>
      <c r="AC104" s="6" t="str">
        <f t="shared" si="45"/>
        <v>No Match</v>
      </c>
      <c r="AD104" s="6" t="s">
        <v>48</v>
      </c>
      <c r="AE104" s="6" t="str">
        <f t="shared" si="46"/>
        <v>Matched</v>
      </c>
      <c r="AG104" s="6" t="str">
        <f t="shared" si="47"/>
        <v>No Match</v>
      </c>
      <c r="AI104" s="6" t="str">
        <f t="shared" si="48"/>
        <v>No Match</v>
      </c>
      <c r="AJ104" s="6" t="s">
        <v>77</v>
      </c>
      <c r="AK104" s="6" t="str">
        <f t="shared" si="49"/>
        <v>No Match</v>
      </c>
      <c r="AL104" s="6" t="s">
        <v>48</v>
      </c>
      <c r="AM104" s="6" t="str">
        <f t="shared" si="50"/>
        <v>Matched</v>
      </c>
      <c r="AN104" s="6" t="s">
        <v>48</v>
      </c>
      <c r="AO104" s="6" t="str">
        <f t="shared" si="51"/>
        <v>Matched</v>
      </c>
      <c r="AP104" s="6" t="s">
        <v>48</v>
      </c>
      <c r="AQ104" s="6" t="str">
        <f t="shared" si="52"/>
        <v>Matched</v>
      </c>
      <c r="AR104" s="6" t="s">
        <v>48</v>
      </c>
      <c r="AS104" s="6" t="str">
        <f t="shared" si="53"/>
        <v>Matched</v>
      </c>
      <c r="AT104" s="6" t="s">
        <v>48</v>
      </c>
      <c r="AU104" s="6" t="str">
        <f t="shared" si="54"/>
        <v>Matched</v>
      </c>
      <c r="AV104" s="6" t="s">
        <v>48</v>
      </c>
      <c r="AW104" s="6" t="str">
        <f t="shared" si="56"/>
        <v>Matched</v>
      </c>
    </row>
    <row r="105" spans="3:49" x14ac:dyDescent="0.35">
      <c r="C105" s="1" t="s">
        <v>248</v>
      </c>
      <c r="D105" s="18" t="s">
        <v>249</v>
      </c>
      <c r="E105" s="10" t="s">
        <v>250</v>
      </c>
      <c r="F105" s="37">
        <v>0.29166666666666669</v>
      </c>
      <c r="G105" s="35" t="s">
        <v>60</v>
      </c>
      <c r="H105" s="35" t="s">
        <v>54</v>
      </c>
      <c r="I105" s="1">
        <v>101</v>
      </c>
      <c r="J105" s="1" t="s">
        <v>105</v>
      </c>
      <c r="K105" s="1" t="s">
        <v>54</v>
      </c>
      <c r="L105" s="6" t="s">
        <v>60</v>
      </c>
      <c r="M105" s="1" t="str">
        <f t="shared" si="19"/>
        <v>No Match</v>
      </c>
      <c r="N105" s="6" t="s">
        <v>60</v>
      </c>
      <c r="O105" s="1" t="str">
        <f t="shared" si="38"/>
        <v>No Match</v>
      </c>
      <c r="P105" s="1" t="s">
        <v>60</v>
      </c>
      <c r="Q105" s="1" t="str">
        <f t="shared" si="39"/>
        <v>No Match</v>
      </c>
      <c r="R105" s="6" t="s">
        <v>60</v>
      </c>
      <c r="S105" s="6" t="str">
        <f t="shared" si="40"/>
        <v>No Match</v>
      </c>
      <c r="T105" s="6" t="s">
        <v>60</v>
      </c>
      <c r="U105" s="6" t="str">
        <f t="shared" si="41"/>
        <v>No Match</v>
      </c>
      <c r="V105" s="6" t="s">
        <v>54</v>
      </c>
      <c r="W105" s="6" t="str">
        <f t="shared" si="42"/>
        <v>Matched</v>
      </c>
      <c r="X105" s="6" t="s">
        <v>54</v>
      </c>
      <c r="Y105" s="6" t="str">
        <f t="shared" si="43"/>
        <v>Matched</v>
      </c>
      <c r="Z105" s="8" t="s">
        <v>60</v>
      </c>
      <c r="AA105" s="6" t="str">
        <f t="shared" si="44"/>
        <v>No Match</v>
      </c>
      <c r="AB105" s="6" t="s">
        <v>60</v>
      </c>
      <c r="AC105" s="6" t="str">
        <f t="shared" si="45"/>
        <v>No Match</v>
      </c>
      <c r="AD105" s="6" t="s">
        <v>54</v>
      </c>
      <c r="AE105" s="6" t="str">
        <f t="shared" si="46"/>
        <v>Matched</v>
      </c>
      <c r="AF105" s="6" t="s">
        <v>60</v>
      </c>
      <c r="AG105" s="6" t="str">
        <f t="shared" si="47"/>
        <v>No Match</v>
      </c>
      <c r="AH105" s="6" t="s">
        <v>60</v>
      </c>
      <c r="AI105" s="6" t="str">
        <f t="shared" si="48"/>
        <v>No Match</v>
      </c>
      <c r="AJ105" s="6" t="s">
        <v>60</v>
      </c>
      <c r="AK105" s="6" t="str">
        <f t="shared" si="49"/>
        <v>No Match</v>
      </c>
      <c r="AL105" s="6" t="s">
        <v>60</v>
      </c>
      <c r="AM105" s="6" t="str">
        <f t="shared" si="50"/>
        <v>No Match</v>
      </c>
      <c r="AN105" s="6" t="s">
        <v>60</v>
      </c>
      <c r="AO105" s="6" t="str">
        <f t="shared" si="51"/>
        <v>No Match</v>
      </c>
      <c r="AP105" s="6" t="s">
        <v>54</v>
      </c>
      <c r="AQ105" s="6" t="str">
        <f t="shared" si="52"/>
        <v>Matched</v>
      </c>
      <c r="AR105" s="6" t="s">
        <v>60</v>
      </c>
      <c r="AS105" s="6" t="str">
        <f t="shared" si="53"/>
        <v>No Match</v>
      </c>
      <c r="AT105" s="6" t="s">
        <v>54</v>
      </c>
      <c r="AU105" s="6" t="str">
        <f t="shared" si="54"/>
        <v>Matched</v>
      </c>
      <c r="AV105" s="6" t="s">
        <v>60</v>
      </c>
      <c r="AW105" s="6" t="str">
        <f t="shared" si="56"/>
        <v>No Match</v>
      </c>
    </row>
    <row r="106" spans="3:49" x14ac:dyDescent="0.35">
      <c r="C106" s="1" t="s">
        <v>248</v>
      </c>
      <c r="D106" s="18" t="s">
        <v>251</v>
      </c>
      <c r="E106" s="10" t="s">
        <v>252</v>
      </c>
      <c r="F106" s="37">
        <v>0.29166666666666669</v>
      </c>
      <c r="G106" s="35" t="s">
        <v>67</v>
      </c>
      <c r="H106" s="35" t="s">
        <v>48</v>
      </c>
      <c r="I106" s="1">
        <v>102</v>
      </c>
      <c r="J106" s="1" t="s">
        <v>119</v>
      </c>
      <c r="K106" s="1" t="s">
        <v>48</v>
      </c>
      <c r="L106" s="6" t="s">
        <v>67</v>
      </c>
      <c r="M106" s="1" t="str">
        <f t="shared" si="19"/>
        <v>No Match</v>
      </c>
      <c r="N106" s="6" t="s">
        <v>67</v>
      </c>
      <c r="O106" s="1" t="str">
        <f t="shared" si="38"/>
        <v>No Match</v>
      </c>
      <c r="P106" s="1" t="s">
        <v>48</v>
      </c>
      <c r="Q106" s="1" t="str">
        <f t="shared" si="39"/>
        <v>Matched</v>
      </c>
      <c r="R106" s="6" t="s">
        <v>67</v>
      </c>
      <c r="S106" s="6" t="str">
        <f t="shared" si="40"/>
        <v>No Match</v>
      </c>
      <c r="T106" s="6" t="s">
        <v>48</v>
      </c>
      <c r="U106" s="6" t="str">
        <f t="shared" si="41"/>
        <v>Matched</v>
      </c>
      <c r="V106" s="6" t="s">
        <v>67</v>
      </c>
      <c r="W106" s="6" t="str">
        <f t="shared" si="42"/>
        <v>No Match</v>
      </c>
      <c r="X106" s="6" t="s">
        <v>67</v>
      </c>
      <c r="Y106" s="6" t="str">
        <f t="shared" si="43"/>
        <v>No Match</v>
      </c>
      <c r="Z106" s="1" t="s">
        <v>67</v>
      </c>
      <c r="AA106" s="6" t="str">
        <f t="shared" si="44"/>
        <v>No Match</v>
      </c>
      <c r="AB106" s="6" t="s">
        <v>48</v>
      </c>
      <c r="AC106" s="6" t="str">
        <f t="shared" si="45"/>
        <v>Matched</v>
      </c>
      <c r="AD106" s="6" t="s">
        <v>67</v>
      </c>
      <c r="AE106" s="6" t="str">
        <f t="shared" si="46"/>
        <v>No Match</v>
      </c>
      <c r="AF106" s="6" t="s">
        <v>67</v>
      </c>
      <c r="AG106" s="6" t="str">
        <f t="shared" si="47"/>
        <v>No Match</v>
      </c>
      <c r="AH106" s="6" t="s">
        <v>48</v>
      </c>
      <c r="AI106" s="6" t="str">
        <f t="shared" si="48"/>
        <v>Matched</v>
      </c>
      <c r="AJ106" s="6" t="s">
        <v>67</v>
      </c>
      <c r="AK106" s="6" t="str">
        <f t="shared" si="49"/>
        <v>No Match</v>
      </c>
      <c r="AL106" s="6" t="s">
        <v>67</v>
      </c>
      <c r="AM106" s="6" t="str">
        <f t="shared" si="50"/>
        <v>No Match</v>
      </c>
      <c r="AN106" s="6" t="s">
        <v>48</v>
      </c>
      <c r="AO106" s="6" t="str">
        <f t="shared" si="51"/>
        <v>Matched</v>
      </c>
      <c r="AP106" s="6" t="s">
        <v>48</v>
      </c>
      <c r="AQ106" s="6" t="str">
        <f t="shared" si="52"/>
        <v>Matched</v>
      </c>
      <c r="AR106" s="6" t="s">
        <v>67</v>
      </c>
      <c r="AS106" s="6" t="str">
        <f t="shared" si="53"/>
        <v>No Match</v>
      </c>
      <c r="AT106" s="6" t="s">
        <v>48</v>
      </c>
      <c r="AU106" s="6" t="str">
        <f t="shared" si="54"/>
        <v>Matched</v>
      </c>
      <c r="AV106" s="6" t="s">
        <v>48</v>
      </c>
      <c r="AW106" s="6" t="str">
        <f t="shared" si="56"/>
        <v>Matched</v>
      </c>
    </row>
    <row r="107" spans="3:49" x14ac:dyDescent="0.35">
      <c r="C107" s="1" t="s">
        <v>253</v>
      </c>
      <c r="D107" s="18" t="s">
        <v>254</v>
      </c>
      <c r="E107" s="10" t="s">
        <v>255</v>
      </c>
      <c r="F107" s="37">
        <v>0.29166666666666669</v>
      </c>
      <c r="G107" s="8" t="s">
        <v>60</v>
      </c>
      <c r="H107" s="1" t="s">
        <v>67</v>
      </c>
      <c r="I107" s="1">
        <v>103</v>
      </c>
      <c r="J107" s="1" t="s">
        <v>128</v>
      </c>
      <c r="K107" s="1"/>
      <c r="M107" s="1" t="str">
        <f t="shared" si="19"/>
        <v>TBP</v>
      </c>
      <c r="N107" s="6" t="s">
        <v>256</v>
      </c>
      <c r="O107" s="1" t="str">
        <f t="shared" si="38"/>
        <v>TBP</v>
      </c>
      <c r="P107" s="1"/>
      <c r="Q107" s="1" t="str">
        <f t="shared" si="39"/>
        <v>TBP</v>
      </c>
      <c r="S107" s="6" t="str">
        <f t="shared" si="40"/>
        <v>TBP</v>
      </c>
      <c r="T107" s="6" t="s">
        <v>54</v>
      </c>
      <c r="U107" s="6" t="str">
        <f t="shared" si="41"/>
        <v>TBP</v>
      </c>
      <c r="W107" s="6" t="str">
        <f t="shared" si="42"/>
        <v>TBP</v>
      </c>
      <c r="Y107" s="6" t="str">
        <f t="shared" si="43"/>
        <v>TBP</v>
      </c>
      <c r="AA107" s="6" t="str">
        <f t="shared" si="44"/>
        <v>TBP</v>
      </c>
      <c r="AC107" s="6" t="str">
        <f t="shared" si="45"/>
        <v>TBP</v>
      </c>
      <c r="AD107" s="6" t="s">
        <v>60</v>
      </c>
      <c r="AE107" s="6" t="str">
        <f t="shared" si="46"/>
        <v>TBP</v>
      </c>
      <c r="AG107" s="6" t="str">
        <f t="shared" si="47"/>
        <v>TBP</v>
      </c>
      <c r="AI107" s="6" t="str">
        <f t="shared" si="48"/>
        <v>TBP</v>
      </c>
      <c r="AK107" s="6" t="str">
        <f t="shared" si="49"/>
        <v>TBP</v>
      </c>
      <c r="AM107" s="6" t="str">
        <f t="shared" si="50"/>
        <v>TBP</v>
      </c>
      <c r="AO107" s="6" t="str">
        <f t="shared" si="51"/>
        <v>TBP</v>
      </c>
      <c r="AQ107" s="6" t="str">
        <f t="shared" si="52"/>
        <v>TBP</v>
      </c>
      <c r="AS107" s="6" t="str">
        <f t="shared" si="53"/>
        <v>TBP</v>
      </c>
      <c r="AU107" s="6" t="str">
        <f t="shared" si="54"/>
        <v>TBP</v>
      </c>
      <c r="AW107" s="6" t="str">
        <f t="shared" si="56"/>
        <v>TBP</v>
      </c>
    </row>
    <row r="108" spans="3:49" x14ac:dyDescent="0.35">
      <c r="C108" s="1" t="s">
        <v>257</v>
      </c>
      <c r="D108" s="18" t="s">
        <v>258</v>
      </c>
      <c r="E108" s="10" t="s">
        <v>259</v>
      </c>
      <c r="F108" s="25"/>
      <c r="G108" s="35" t="s">
        <v>54</v>
      </c>
      <c r="H108" s="35" t="s">
        <v>48</v>
      </c>
      <c r="I108" s="1">
        <v>104</v>
      </c>
      <c r="J108" s="1" t="s">
        <v>84</v>
      </c>
      <c r="K108" s="1"/>
      <c r="M108" s="1" t="str">
        <f t="shared" si="19"/>
        <v>TBP</v>
      </c>
      <c r="N108" s="6" t="s">
        <v>260</v>
      </c>
      <c r="O108" s="1" t="str">
        <f t="shared" si="38"/>
        <v>TBP</v>
      </c>
      <c r="P108" s="1"/>
      <c r="Q108" s="1" t="str">
        <f>IF(ISBLANK(K108),"TBP",IF(P108=K108,"Matched","No Match"))</f>
        <v>TBP</v>
      </c>
      <c r="S108" s="6" t="str">
        <f t="shared" si="40"/>
        <v>TBP</v>
      </c>
      <c r="T108" s="6" t="s">
        <v>60</v>
      </c>
      <c r="U108" s="6" t="str">
        <f t="shared" si="41"/>
        <v>TBP</v>
      </c>
      <c r="W108" s="6" t="str">
        <f t="shared" si="42"/>
        <v>TBP</v>
      </c>
      <c r="Y108" s="6" t="str">
        <f t="shared" si="43"/>
        <v>TBP</v>
      </c>
      <c r="AA108" s="6" t="str">
        <f t="shared" si="44"/>
        <v>TBP</v>
      </c>
      <c r="AC108" s="6" t="str">
        <f t="shared" si="45"/>
        <v>TBP</v>
      </c>
      <c r="AD108" s="6" t="s">
        <v>54</v>
      </c>
      <c r="AE108" s="6" t="str">
        <f t="shared" si="46"/>
        <v>TBP</v>
      </c>
      <c r="AG108" s="6" t="str">
        <f t="shared" si="47"/>
        <v>TBP</v>
      </c>
      <c r="AI108" s="6" t="str">
        <f t="shared" si="48"/>
        <v>TBP</v>
      </c>
      <c r="AK108" s="6" t="str">
        <f t="shared" si="49"/>
        <v>TBP</v>
      </c>
      <c r="AM108" s="6" t="str">
        <f t="shared" si="50"/>
        <v>TBP</v>
      </c>
      <c r="AO108" s="6" t="str">
        <f t="shared" si="51"/>
        <v>TBP</v>
      </c>
      <c r="AQ108" s="6" t="str">
        <f t="shared" si="52"/>
        <v>TBP</v>
      </c>
      <c r="AS108" s="6" t="str">
        <f t="shared" si="53"/>
        <v>TBP</v>
      </c>
      <c r="AU108" s="6" t="str">
        <f t="shared" si="54"/>
        <v>TBP</v>
      </c>
      <c r="AW108" s="6" t="str">
        <f t="shared" si="56"/>
        <v>TBP</v>
      </c>
    </row>
    <row r="109" spans="3:49" x14ac:dyDescent="0.35">
      <c r="E109" s="24"/>
      <c r="F109" s="28"/>
    </row>
    <row r="110" spans="3:49" x14ac:dyDescent="0.35">
      <c r="M110" s="6">
        <f>COUNTIF(M75:M108, "Matched")</f>
        <v>14</v>
      </c>
      <c r="O110" s="6">
        <f>COUNTIF(O75:O108, "Matched")</f>
        <v>20</v>
      </c>
      <c r="Q110" s="6">
        <f>COUNTIF(Q75:Q108, "Matched")</f>
        <v>22</v>
      </c>
      <c r="S110" s="6">
        <f>COUNTIF(S75:S108, "Matched")</f>
        <v>18</v>
      </c>
      <c r="U110" s="6">
        <f>COUNTIF(U75:U108, "Matched")</f>
        <v>13</v>
      </c>
      <c r="W110" s="6">
        <f>COUNTIF(W75:W108, "Matched")</f>
        <v>20</v>
      </c>
      <c r="Y110" s="6">
        <f>COUNTIF(Y75:Y108, "Matched")</f>
        <v>20</v>
      </c>
      <c r="AA110" s="6">
        <f>COUNTIF(AA75:AA108, "Matched")</f>
        <v>20</v>
      </c>
      <c r="AC110" s="6">
        <f>COUNTIF(AC75:AC108, "Matched")</f>
        <v>21</v>
      </c>
      <c r="AE110" s="6">
        <f>COUNTIF(AE75:AE108, "Matched")</f>
        <v>24</v>
      </c>
      <c r="AG110" s="6">
        <f>COUNTIF(AG75:AG108, "Matched")</f>
        <v>17</v>
      </c>
      <c r="AI110" s="6">
        <f>COUNTIF(AI75:AI108, "Matched")</f>
        <v>21</v>
      </c>
      <c r="AK110" s="6">
        <f>COUNTIF(AK75:AK108, "Matched")</f>
        <v>22</v>
      </c>
      <c r="AM110" s="6">
        <f>COUNTIF(AM75:AM108, "Matched")</f>
        <v>22</v>
      </c>
      <c r="AO110" s="6">
        <f>COUNTIF(AO75:AO108, "Matched")</f>
        <v>24</v>
      </c>
      <c r="AQ110" s="6">
        <f>COUNTIF(AQ75:AQ108, "Matched")</f>
        <v>18</v>
      </c>
      <c r="AS110" s="6">
        <f>COUNTIF(AS75:AS108, "Matched")</f>
        <v>21</v>
      </c>
      <c r="AU110" s="6">
        <f>COUNTIF(AU75:AU108, "Matched")</f>
        <v>22</v>
      </c>
      <c r="AW110" s="6">
        <f>COUNTIF(AW75:AW108, "Matched")</f>
        <v>21</v>
      </c>
    </row>
    <row r="111" spans="3:49" x14ac:dyDescent="0.35">
      <c r="C111" s="22" t="s">
        <v>261</v>
      </c>
      <c r="M111" s="22">
        <f>M74+M110</f>
        <v>51</v>
      </c>
      <c r="O111" s="22">
        <f>O74+O110</f>
        <v>64</v>
      </c>
      <c r="Q111" s="22">
        <f>Q74+Q110</f>
        <v>63</v>
      </c>
      <c r="S111" s="22">
        <f>S74+S110</f>
        <v>61</v>
      </c>
      <c r="U111" s="22">
        <f>U74+U110</f>
        <v>54</v>
      </c>
      <c r="W111" s="22">
        <f>W74+W110</f>
        <v>64</v>
      </c>
      <c r="Y111" s="22">
        <f>Y74+Y110</f>
        <v>65</v>
      </c>
      <c r="AA111" s="22">
        <f>AA74+AA110</f>
        <v>57</v>
      </c>
      <c r="AC111" s="22">
        <f>AC74+AC110</f>
        <v>65</v>
      </c>
      <c r="AE111" s="22">
        <f>AE74+AE110</f>
        <v>68</v>
      </c>
      <c r="AG111" s="22">
        <f>AG74+AG110</f>
        <v>61</v>
      </c>
      <c r="AI111" s="22">
        <f>AI74+AI110</f>
        <v>64</v>
      </c>
      <c r="AK111" s="22">
        <f>AK74+AK110</f>
        <v>64</v>
      </c>
      <c r="AM111" s="22">
        <f>AM74+AM110</f>
        <v>68</v>
      </c>
      <c r="AO111" s="22">
        <f>AO74+AO110</f>
        <v>70</v>
      </c>
      <c r="AQ111" s="22">
        <f>AQ74+AQ110</f>
        <v>57</v>
      </c>
      <c r="AS111" s="22">
        <f>AS74+AS110</f>
        <v>70</v>
      </c>
      <c r="AU111" s="22">
        <f>AU74+AU110</f>
        <v>66</v>
      </c>
      <c r="AW111" s="22">
        <f>AW74+AW110</f>
        <v>63</v>
      </c>
    </row>
  </sheetData>
  <conditionalFormatting sqref="C111">
    <cfRule type="cellIs" dxfId="68" priority="1" operator="equal">
      <formula>"Matched"</formula>
    </cfRule>
    <cfRule type="cellIs" dxfId="67" priority="2" operator="equal">
      <formula>"Match"</formula>
    </cfRule>
  </conditionalFormatting>
  <conditionalFormatting sqref="L74:AW74">
    <cfRule type="containsText" dxfId="66" priority="160" operator="containsText" text="Match">
      <formula>NOT(ISERROR(SEARCH("Match",L74)))</formula>
    </cfRule>
  </conditionalFormatting>
  <conditionalFormatting sqref="M1:M73 L74:AW74 M109:M1048576">
    <cfRule type="cellIs" dxfId="65" priority="150" operator="equal">
      <formula>"Match"</formula>
    </cfRule>
  </conditionalFormatting>
  <conditionalFormatting sqref="M1:M73 L74:AW74 AV76:AV86">
    <cfRule type="cellIs" dxfId="64" priority="149" operator="equal">
      <formula>"Matched"</formula>
    </cfRule>
  </conditionalFormatting>
  <conditionalFormatting sqref="M75:M1048576">
    <cfRule type="cellIs" dxfId="63" priority="65" operator="equal">
      <formula>"Matched"</formula>
    </cfRule>
  </conditionalFormatting>
  <conditionalFormatting sqref="O1:O73 AR2:AR32 AR34:AR43 AR45:AR50 AR52:AR70 AR72:AR73">
    <cfRule type="cellIs" dxfId="62" priority="148" operator="equal">
      <formula>"Matched"</formula>
    </cfRule>
  </conditionalFormatting>
  <conditionalFormatting sqref="O1:O73">
    <cfRule type="cellIs" dxfId="61" priority="154" operator="equal">
      <formula>"Match"</formula>
    </cfRule>
  </conditionalFormatting>
  <conditionalFormatting sqref="O75:O1048576">
    <cfRule type="cellIs" dxfId="60" priority="39" operator="equal">
      <formula>"Matched"</formula>
    </cfRule>
  </conditionalFormatting>
  <conditionalFormatting sqref="O109:O1048576">
    <cfRule type="cellIs" dxfId="59" priority="40" operator="equal">
      <formula>"Match"</formula>
    </cfRule>
  </conditionalFormatting>
  <conditionalFormatting sqref="P75:P88 P90:P108">
    <cfRule type="cellIs" dxfId="58" priority="64" operator="equal">
      <formula>"Matched"</formula>
    </cfRule>
  </conditionalFormatting>
  <conditionalFormatting sqref="Q1:Q73">
    <cfRule type="cellIs" dxfId="57" priority="147" operator="equal">
      <formula>"Matched"</formula>
    </cfRule>
  </conditionalFormatting>
  <conditionalFormatting sqref="Q75:Q1048576">
    <cfRule type="cellIs" dxfId="56" priority="37" operator="equal">
      <formula>"Matched"</formula>
    </cfRule>
  </conditionalFormatting>
  <conditionalFormatting sqref="Q109:Q1048576">
    <cfRule type="cellIs" dxfId="55" priority="38" operator="equal">
      <formula>"Match"</formula>
    </cfRule>
  </conditionalFormatting>
  <conditionalFormatting sqref="S1:S73">
    <cfRule type="cellIs" dxfId="54" priority="146" operator="equal">
      <formula>"Matched"</formula>
    </cfRule>
  </conditionalFormatting>
  <conditionalFormatting sqref="S75:S1048576">
    <cfRule type="cellIs" dxfId="53" priority="35" operator="equal">
      <formula>"Matched"</formula>
    </cfRule>
    <cfRule type="cellIs" dxfId="52" priority="36" operator="equal">
      <formula>"Match"</formula>
    </cfRule>
  </conditionalFormatting>
  <conditionalFormatting sqref="T1:AW1 Q1:Q73 S1:S73">
    <cfRule type="cellIs" dxfId="51" priority="156" operator="equal">
      <formula>"Match"</formula>
    </cfRule>
  </conditionalFormatting>
  <conditionalFormatting sqref="T1:AW1">
    <cfRule type="cellIs" dxfId="50" priority="140" operator="equal">
      <formula>"Matched"</formula>
    </cfRule>
  </conditionalFormatting>
  <conditionalFormatting sqref="U1:U73">
    <cfRule type="cellIs" dxfId="49" priority="135" operator="equal">
      <formula>"Matched"</formula>
    </cfRule>
  </conditionalFormatting>
  <conditionalFormatting sqref="U75:U1048576">
    <cfRule type="cellIs" dxfId="48" priority="33" operator="equal">
      <formula>"Matched"</formula>
    </cfRule>
  </conditionalFormatting>
  <conditionalFormatting sqref="U111">
    <cfRule type="cellIs" dxfId="47" priority="34" operator="equal">
      <formula>"Match"</formula>
    </cfRule>
  </conditionalFormatting>
  <conditionalFormatting sqref="W1:W73">
    <cfRule type="cellIs" dxfId="46" priority="132" operator="equal">
      <formula>"Matched"</formula>
    </cfRule>
  </conditionalFormatting>
  <conditionalFormatting sqref="W75:W1048576">
    <cfRule type="cellIs" dxfId="45" priority="31" operator="equal">
      <formula>"Matched"</formula>
    </cfRule>
  </conditionalFormatting>
  <conditionalFormatting sqref="W111">
    <cfRule type="cellIs" dxfId="44" priority="32" operator="equal">
      <formula>"Match"</formula>
    </cfRule>
  </conditionalFormatting>
  <conditionalFormatting sqref="Y1:Y73">
    <cfRule type="cellIs" dxfId="43" priority="129" operator="equal">
      <formula>"Matched"</formula>
    </cfRule>
  </conditionalFormatting>
  <conditionalFormatting sqref="Y75:Y1048576">
    <cfRule type="cellIs" dxfId="42" priority="29" operator="equal">
      <formula>"Matched"</formula>
    </cfRule>
  </conditionalFormatting>
  <conditionalFormatting sqref="Y111">
    <cfRule type="cellIs" dxfId="41" priority="30" operator="equal">
      <formula>"Match"</formula>
    </cfRule>
  </conditionalFormatting>
  <conditionalFormatting sqref="AA1:AA73">
    <cfRule type="cellIs" dxfId="40" priority="126" operator="equal">
      <formula>"Matched"</formula>
    </cfRule>
  </conditionalFormatting>
  <conditionalFormatting sqref="AA75:AA1048576">
    <cfRule type="cellIs" dxfId="39" priority="27" operator="equal">
      <formula>"Matched"</formula>
    </cfRule>
  </conditionalFormatting>
  <conditionalFormatting sqref="AA111">
    <cfRule type="cellIs" dxfId="38" priority="28" operator="equal">
      <formula>"Match"</formula>
    </cfRule>
  </conditionalFormatting>
  <conditionalFormatting sqref="AB2">
    <cfRule type="cellIs" dxfId="37" priority="74" operator="equal">
      <formula>"Matched"</formula>
    </cfRule>
  </conditionalFormatting>
  <conditionalFormatting sqref="AC1:AC73">
    <cfRule type="cellIs" dxfId="36" priority="123" operator="equal">
      <formula>"Matched"</formula>
    </cfRule>
  </conditionalFormatting>
  <conditionalFormatting sqref="AC75:AC1048576">
    <cfRule type="cellIs" dxfId="35" priority="25" operator="equal">
      <formula>"Matched"</formula>
    </cfRule>
  </conditionalFormatting>
  <conditionalFormatting sqref="AC111">
    <cfRule type="cellIs" dxfId="34" priority="26" operator="equal">
      <formula>"Match"</formula>
    </cfRule>
  </conditionalFormatting>
  <conditionalFormatting sqref="AD2">
    <cfRule type="cellIs" dxfId="33" priority="139" operator="equal">
      <formula>"Matched"</formula>
    </cfRule>
  </conditionalFormatting>
  <conditionalFormatting sqref="AE1:AE73 AE113:AE1048576">
    <cfRule type="cellIs" dxfId="32" priority="120" operator="equal">
      <formula>"Matched"</formula>
    </cfRule>
  </conditionalFormatting>
  <conditionalFormatting sqref="AE75:AE111">
    <cfRule type="cellIs" dxfId="31" priority="21" operator="equal">
      <formula>"Matched"</formula>
    </cfRule>
  </conditionalFormatting>
  <conditionalFormatting sqref="AE111">
    <cfRule type="cellIs" dxfId="30" priority="22" operator="equal">
      <formula>"Match"</formula>
    </cfRule>
  </conditionalFormatting>
  <conditionalFormatting sqref="AF2">
    <cfRule type="cellIs" dxfId="29" priority="113" operator="equal">
      <formula>"Matched"</formula>
    </cfRule>
  </conditionalFormatting>
  <conditionalFormatting sqref="AG1:AG73">
    <cfRule type="cellIs" dxfId="28" priority="109" operator="equal">
      <formula>"Matched"</formula>
    </cfRule>
  </conditionalFormatting>
  <conditionalFormatting sqref="AG75:AG1048576">
    <cfRule type="cellIs" dxfId="27" priority="19" operator="equal">
      <formula>"Matched"</formula>
    </cfRule>
  </conditionalFormatting>
  <conditionalFormatting sqref="AG111">
    <cfRule type="cellIs" dxfId="26" priority="20" operator="equal">
      <formula>"Match"</formula>
    </cfRule>
  </conditionalFormatting>
  <conditionalFormatting sqref="AH2">
    <cfRule type="cellIs" dxfId="25" priority="107" operator="equal">
      <formula>"Matched"</formula>
    </cfRule>
  </conditionalFormatting>
  <conditionalFormatting sqref="AI1:AI73">
    <cfRule type="cellIs" dxfId="24" priority="104" operator="equal">
      <formula>"Matched"</formula>
    </cfRule>
  </conditionalFormatting>
  <conditionalFormatting sqref="AI75:AI1048576">
    <cfRule type="cellIs" dxfId="23" priority="17" operator="equal">
      <formula>"Matched"</formula>
    </cfRule>
  </conditionalFormatting>
  <conditionalFormatting sqref="AI111">
    <cfRule type="cellIs" dxfId="22" priority="18" operator="equal">
      <formula>"Match"</formula>
    </cfRule>
  </conditionalFormatting>
  <conditionalFormatting sqref="AJ2">
    <cfRule type="cellIs" dxfId="21" priority="103" operator="equal">
      <formula>"Matched"</formula>
    </cfRule>
  </conditionalFormatting>
  <conditionalFormatting sqref="AJ55">
    <cfRule type="cellIs" dxfId="20" priority="73" operator="equal">
      <formula>"Matched"</formula>
    </cfRule>
  </conditionalFormatting>
  <conditionalFormatting sqref="AK1:AK73">
    <cfRule type="cellIs" dxfId="19" priority="100" operator="equal">
      <formula>"Matched"</formula>
    </cfRule>
  </conditionalFormatting>
  <conditionalFormatting sqref="AK75:AK1048576">
    <cfRule type="cellIs" dxfId="18" priority="15" operator="equal">
      <formula>"Matched"</formula>
    </cfRule>
  </conditionalFormatting>
  <conditionalFormatting sqref="AK111">
    <cfRule type="cellIs" dxfId="17" priority="16" operator="equal">
      <formula>"Match"</formula>
    </cfRule>
  </conditionalFormatting>
  <conditionalFormatting sqref="AM1:AM73">
    <cfRule type="cellIs" dxfId="16" priority="95" operator="equal">
      <formula>"Matched"</formula>
    </cfRule>
  </conditionalFormatting>
  <conditionalFormatting sqref="AM75:AM1048576">
    <cfRule type="cellIs" dxfId="15" priority="13" operator="equal">
      <formula>"Matched"</formula>
    </cfRule>
  </conditionalFormatting>
  <conditionalFormatting sqref="AM111">
    <cfRule type="cellIs" dxfId="14" priority="14" operator="equal">
      <formula>"Match"</formula>
    </cfRule>
  </conditionalFormatting>
  <conditionalFormatting sqref="AN2">
    <cfRule type="cellIs" dxfId="13" priority="94" operator="equal">
      <formula>"Matched"</formula>
    </cfRule>
  </conditionalFormatting>
  <conditionalFormatting sqref="AO1:AO73">
    <cfRule type="cellIs" dxfId="12" priority="89" operator="equal">
      <formula>"Matched"</formula>
    </cfRule>
  </conditionalFormatting>
  <conditionalFormatting sqref="AO75:AO1048576">
    <cfRule type="cellIs" dxfId="11" priority="11" operator="equal">
      <formula>"Matched"</formula>
    </cfRule>
  </conditionalFormatting>
  <conditionalFormatting sqref="AO111">
    <cfRule type="cellIs" dxfId="10" priority="12" operator="equal">
      <formula>"Match"</formula>
    </cfRule>
  </conditionalFormatting>
  <conditionalFormatting sqref="AP2">
    <cfRule type="cellIs" dxfId="9" priority="88" operator="equal">
      <formula>"Matched"</formula>
    </cfRule>
  </conditionalFormatting>
  <conditionalFormatting sqref="AQ1:AQ73">
    <cfRule type="cellIs" dxfId="8" priority="85" operator="equal">
      <formula>"Matched"</formula>
    </cfRule>
  </conditionalFormatting>
  <conditionalFormatting sqref="AQ75:AQ1048576">
    <cfRule type="cellIs" dxfId="7" priority="9" operator="equal">
      <formula>"Matched"</formula>
    </cfRule>
  </conditionalFormatting>
  <conditionalFormatting sqref="AQ111">
    <cfRule type="cellIs" dxfId="6" priority="10" operator="equal">
      <formula>"Match"</formula>
    </cfRule>
  </conditionalFormatting>
  <conditionalFormatting sqref="AS1:AS1048576">
    <cfRule type="cellIs" dxfId="5" priority="7" operator="equal">
      <formula>"Matched"</formula>
    </cfRule>
  </conditionalFormatting>
  <conditionalFormatting sqref="AS111">
    <cfRule type="cellIs" dxfId="4" priority="8" operator="equal">
      <formula>"Match"</formula>
    </cfRule>
  </conditionalFormatting>
  <conditionalFormatting sqref="AU1:AU1048576">
    <cfRule type="cellIs" dxfId="3" priority="5" operator="equal">
      <formula>"Matched"</formula>
    </cfRule>
  </conditionalFormatting>
  <conditionalFormatting sqref="AU111">
    <cfRule type="cellIs" dxfId="2" priority="6" operator="equal">
      <formula>"Match"</formula>
    </cfRule>
  </conditionalFormatting>
  <conditionalFormatting sqref="AW1:AW1048576 AV88:AV89">
    <cfRule type="cellIs" dxfId="1" priority="3" operator="equal">
      <formula>"Matched"</formula>
    </cfRule>
  </conditionalFormatting>
  <conditionalFormatting sqref="AW111">
    <cfRule type="cellIs" dxfId="0" priority="4" operator="equal">
      <formula>"Match"</formula>
    </cfRule>
  </conditionalFormatting>
  <pageMargins left="0.7" right="0.7" top="0.75" bottom="0.75" header="0.3" footer="0.3"/>
  <pageSetup paperSize="9" orientation="portrait" r:id="rId1"/>
  <headerFooter>
    <oddFooter xml:space="preserve">&amp;L_x000D_&amp;1#&amp;"Aptos"&amp;10&amp;KFF0000 C2 General 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D06361-064E-4379-9925-18B221D49A3E}">
  <dimension ref="A1:H48"/>
  <sheetViews>
    <sheetView workbookViewId="0">
      <selection activeCell="A20" sqref="A20"/>
    </sheetView>
  </sheetViews>
  <sheetFormatPr defaultRowHeight="14.5" x14ac:dyDescent="0.35"/>
  <cols>
    <col min="1" max="1" width="15.81640625" customWidth="1"/>
    <col min="2" max="2" width="12.81640625" customWidth="1"/>
    <col min="4" max="4" width="27.1796875" customWidth="1"/>
    <col min="7" max="7" width="11.1796875" bestFit="1" customWidth="1"/>
  </cols>
  <sheetData>
    <row r="1" spans="1:8" x14ac:dyDescent="0.35">
      <c r="A1" t="s">
        <v>262</v>
      </c>
      <c r="B1" t="s">
        <v>263</v>
      </c>
      <c r="D1" s="1" t="s">
        <v>48</v>
      </c>
      <c r="E1" s="2">
        <v>1</v>
      </c>
      <c r="G1" s="2" t="s">
        <v>264</v>
      </c>
      <c r="H1" s="2">
        <v>6</v>
      </c>
    </row>
    <row r="2" spans="1:8" x14ac:dyDescent="0.35">
      <c r="A2" s="7" t="s">
        <v>265</v>
      </c>
      <c r="B2" s="7" t="s">
        <v>266</v>
      </c>
      <c r="D2" s="1" t="s">
        <v>54</v>
      </c>
      <c r="E2" s="2">
        <v>2</v>
      </c>
      <c r="G2" s="2" t="s">
        <v>267</v>
      </c>
      <c r="H2" s="2">
        <v>6</v>
      </c>
    </row>
    <row r="3" spans="1:8" x14ac:dyDescent="0.35">
      <c r="A3" s="7" t="s">
        <v>268</v>
      </c>
      <c r="B3" t="s">
        <v>266</v>
      </c>
      <c r="D3" s="1" t="s">
        <v>60</v>
      </c>
      <c r="E3" s="2">
        <v>3</v>
      </c>
      <c r="G3" s="2" t="s">
        <v>268</v>
      </c>
      <c r="H3" s="2">
        <v>5</v>
      </c>
    </row>
    <row r="4" spans="1:8" x14ac:dyDescent="0.35">
      <c r="A4" s="7" t="s">
        <v>269</v>
      </c>
      <c r="B4" s="7" t="s">
        <v>266</v>
      </c>
      <c r="D4" s="1" t="s">
        <v>67</v>
      </c>
      <c r="E4" s="2">
        <v>4</v>
      </c>
      <c r="G4" s="2" t="s">
        <v>269</v>
      </c>
      <c r="H4" s="2">
        <v>5</v>
      </c>
    </row>
    <row r="5" spans="1:8" x14ac:dyDescent="0.35">
      <c r="A5" s="7" t="s">
        <v>270</v>
      </c>
      <c r="B5" s="7" t="s">
        <v>266</v>
      </c>
      <c r="D5" s="1" t="s">
        <v>74</v>
      </c>
      <c r="E5" s="2">
        <v>5</v>
      </c>
      <c r="G5" s="2" t="s">
        <v>270</v>
      </c>
      <c r="H5" s="2">
        <v>5</v>
      </c>
    </row>
    <row r="6" spans="1:8" x14ac:dyDescent="0.35">
      <c r="A6" s="7" t="s">
        <v>271</v>
      </c>
      <c r="B6" s="7" t="s">
        <v>266</v>
      </c>
      <c r="D6" s="1" t="s">
        <v>79</v>
      </c>
      <c r="E6" s="2">
        <v>6</v>
      </c>
      <c r="G6" s="2" t="s">
        <v>271</v>
      </c>
      <c r="H6" s="2">
        <v>5</v>
      </c>
    </row>
    <row r="7" spans="1:8" x14ac:dyDescent="0.35">
      <c r="A7" s="7" t="s">
        <v>272</v>
      </c>
      <c r="B7" s="7" t="s">
        <v>266</v>
      </c>
      <c r="D7" s="1" t="s">
        <v>83</v>
      </c>
      <c r="E7" s="2">
        <v>7</v>
      </c>
      <c r="G7" s="2" t="s">
        <v>272</v>
      </c>
      <c r="H7" s="2">
        <v>5</v>
      </c>
    </row>
    <row r="8" spans="1:8" x14ac:dyDescent="0.35">
      <c r="A8" t="s">
        <v>273</v>
      </c>
      <c r="B8" s="7"/>
      <c r="D8" s="1" t="s">
        <v>89</v>
      </c>
      <c r="E8" s="2">
        <v>8</v>
      </c>
      <c r="G8" s="2" t="s">
        <v>274</v>
      </c>
      <c r="H8" s="2">
        <v>5</v>
      </c>
    </row>
    <row r="9" spans="1:8" x14ac:dyDescent="0.35">
      <c r="A9" s="7" t="s">
        <v>274</v>
      </c>
      <c r="B9" s="7" t="s">
        <v>266</v>
      </c>
      <c r="D9" s="1" t="s">
        <v>96</v>
      </c>
      <c r="E9" s="2">
        <v>9</v>
      </c>
      <c r="G9" s="2" t="s">
        <v>275</v>
      </c>
      <c r="H9" s="2">
        <v>5</v>
      </c>
    </row>
    <row r="10" spans="1:8" x14ac:dyDescent="0.35">
      <c r="A10" s="7" t="s">
        <v>264</v>
      </c>
      <c r="B10" s="7" t="s">
        <v>266</v>
      </c>
      <c r="D10" s="1" t="s">
        <v>99</v>
      </c>
      <c r="E10" s="2">
        <v>10</v>
      </c>
      <c r="G10" s="2" t="s">
        <v>276</v>
      </c>
      <c r="H10" s="2">
        <v>5</v>
      </c>
    </row>
    <row r="11" spans="1:8" x14ac:dyDescent="0.35">
      <c r="A11" s="7" t="s">
        <v>277</v>
      </c>
      <c r="B11" s="7" t="s">
        <v>266</v>
      </c>
      <c r="D11" s="1" t="s">
        <v>106</v>
      </c>
      <c r="E11" s="2">
        <v>11</v>
      </c>
      <c r="G11" s="2" t="s">
        <v>278</v>
      </c>
      <c r="H11" s="2">
        <v>5</v>
      </c>
    </row>
    <row r="12" spans="1:8" x14ac:dyDescent="0.35">
      <c r="A12" s="7" t="s">
        <v>279</v>
      </c>
      <c r="B12" s="7" t="s">
        <v>266</v>
      </c>
      <c r="D12" s="1" t="s">
        <v>111</v>
      </c>
      <c r="E12" s="2">
        <v>13</v>
      </c>
      <c r="G12" s="2" t="s">
        <v>280</v>
      </c>
      <c r="H12" s="2">
        <v>5</v>
      </c>
    </row>
    <row r="13" spans="1:8" x14ac:dyDescent="0.35">
      <c r="A13" s="7" t="s">
        <v>281</v>
      </c>
      <c r="B13" s="7" t="s">
        <v>266</v>
      </c>
      <c r="D13" s="1" t="s">
        <v>51</v>
      </c>
      <c r="E13" s="2">
        <v>14</v>
      </c>
      <c r="G13" s="2" t="s">
        <v>277</v>
      </c>
      <c r="H13" s="2">
        <v>4</v>
      </c>
    </row>
    <row r="14" spans="1:8" x14ac:dyDescent="0.35">
      <c r="A14" s="7" t="s">
        <v>282</v>
      </c>
      <c r="B14" s="7" t="s">
        <v>266</v>
      </c>
      <c r="D14" s="1" t="s">
        <v>120</v>
      </c>
      <c r="E14" s="2">
        <v>15</v>
      </c>
      <c r="G14" s="2" t="s">
        <v>279</v>
      </c>
      <c r="H14" s="2">
        <v>4</v>
      </c>
    </row>
    <row r="15" spans="1:8" x14ac:dyDescent="0.35">
      <c r="A15" s="7" t="s">
        <v>275</v>
      </c>
      <c r="B15" s="7" t="s">
        <v>266</v>
      </c>
      <c r="D15" s="1" t="s">
        <v>71</v>
      </c>
      <c r="E15" s="2">
        <v>16</v>
      </c>
      <c r="G15" s="2" t="s">
        <v>281</v>
      </c>
      <c r="H15" s="2">
        <v>4</v>
      </c>
    </row>
    <row r="16" spans="1:8" x14ac:dyDescent="0.35">
      <c r="A16" s="7" t="s">
        <v>276</v>
      </c>
      <c r="B16" s="7" t="s">
        <v>266</v>
      </c>
      <c r="D16" s="1" t="s">
        <v>127</v>
      </c>
      <c r="E16" s="2">
        <v>17</v>
      </c>
      <c r="G16" s="2" t="s">
        <v>283</v>
      </c>
      <c r="H16" s="2">
        <v>4</v>
      </c>
    </row>
    <row r="17" spans="1:8" x14ac:dyDescent="0.35">
      <c r="A17" s="7" t="s">
        <v>283</v>
      </c>
      <c r="B17" s="7" t="s">
        <v>266</v>
      </c>
      <c r="D17" s="1" t="s">
        <v>104</v>
      </c>
      <c r="E17" s="2">
        <v>18</v>
      </c>
      <c r="G17" s="2" t="s">
        <v>265</v>
      </c>
      <c r="H17" s="2">
        <v>3</v>
      </c>
    </row>
    <row r="18" spans="1:8" x14ac:dyDescent="0.35">
      <c r="A18" s="7" t="s">
        <v>267</v>
      </c>
      <c r="B18" s="7" t="s">
        <v>266</v>
      </c>
      <c r="D18" s="1" t="s">
        <v>77</v>
      </c>
      <c r="E18" s="2">
        <v>19</v>
      </c>
      <c r="G18" s="2" t="s">
        <v>282</v>
      </c>
      <c r="H18" s="2">
        <v>3</v>
      </c>
    </row>
    <row r="19" spans="1:8" x14ac:dyDescent="0.35">
      <c r="A19" s="7" t="s">
        <v>278</v>
      </c>
      <c r="B19" s="7" t="s">
        <v>266</v>
      </c>
      <c r="D19" s="1" t="s">
        <v>130</v>
      </c>
      <c r="E19" s="2">
        <v>20</v>
      </c>
      <c r="G19" s="2" t="s">
        <v>273</v>
      </c>
      <c r="H19" s="2">
        <v>2</v>
      </c>
    </row>
    <row r="20" spans="1:8" x14ac:dyDescent="0.35">
      <c r="A20" s="7" t="s">
        <v>280</v>
      </c>
      <c r="B20" s="7" t="s">
        <v>266</v>
      </c>
      <c r="D20" s="1" t="s">
        <v>93</v>
      </c>
      <c r="E20" s="2">
        <v>22</v>
      </c>
    </row>
    <row r="21" spans="1:8" x14ac:dyDescent="0.35">
      <c r="D21" s="1" t="s">
        <v>142</v>
      </c>
      <c r="E21" s="2">
        <v>23</v>
      </c>
    </row>
    <row r="22" spans="1:8" x14ac:dyDescent="0.35">
      <c r="D22" s="1" t="s">
        <v>109</v>
      </c>
      <c r="E22" s="2">
        <v>24</v>
      </c>
    </row>
    <row r="23" spans="1:8" x14ac:dyDescent="0.35">
      <c r="D23" s="1" t="s">
        <v>56</v>
      </c>
      <c r="E23" s="2">
        <v>25</v>
      </c>
    </row>
    <row r="24" spans="1:8" x14ac:dyDescent="0.35">
      <c r="D24" s="1" t="s">
        <v>92</v>
      </c>
      <c r="E24" s="2">
        <v>27</v>
      </c>
    </row>
    <row r="25" spans="1:8" x14ac:dyDescent="0.35">
      <c r="D25" s="1" t="s">
        <v>139</v>
      </c>
      <c r="E25" s="2">
        <v>28</v>
      </c>
    </row>
    <row r="26" spans="1:8" x14ac:dyDescent="0.35">
      <c r="D26" s="1" t="s">
        <v>123</v>
      </c>
      <c r="E26" s="2">
        <v>29</v>
      </c>
    </row>
    <row r="27" spans="1:8" x14ac:dyDescent="0.35">
      <c r="D27" s="1" t="s">
        <v>64</v>
      </c>
      <c r="E27" s="2">
        <v>30</v>
      </c>
    </row>
    <row r="28" spans="1:8" x14ac:dyDescent="0.35">
      <c r="D28" s="1" t="s">
        <v>136</v>
      </c>
      <c r="E28" s="2">
        <v>31</v>
      </c>
    </row>
    <row r="29" spans="1:8" x14ac:dyDescent="0.35">
      <c r="D29" s="1" t="s">
        <v>108</v>
      </c>
      <c r="E29" s="2">
        <v>33</v>
      </c>
    </row>
    <row r="30" spans="1:8" x14ac:dyDescent="0.35">
      <c r="D30" s="1" t="s">
        <v>152</v>
      </c>
      <c r="E30" s="2">
        <v>34</v>
      </c>
    </row>
    <row r="31" spans="1:8" x14ac:dyDescent="0.35">
      <c r="D31" s="1" t="s">
        <v>113</v>
      </c>
      <c r="E31" s="2">
        <v>38</v>
      </c>
    </row>
    <row r="32" spans="1:8" x14ac:dyDescent="0.35">
      <c r="D32" s="1" t="s">
        <v>57</v>
      </c>
      <c r="E32" s="2">
        <v>39</v>
      </c>
    </row>
    <row r="33" spans="4:5" x14ac:dyDescent="0.35">
      <c r="D33" s="1" t="s">
        <v>72</v>
      </c>
      <c r="E33" s="2">
        <v>40</v>
      </c>
    </row>
    <row r="34" spans="4:5" x14ac:dyDescent="0.35">
      <c r="D34" s="1" t="s">
        <v>87</v>
      </c>
      <c r="E34" s="2">
        <v>43</v>
      </c>
    </row>
    <row r="35" spans="4:5" x14ac:dyDescent="0.35">
      <c r="D35" s="1" t="s">
        <v>146</v>
      </c>
      <c r="E35" s="2">
        <v>45</v>
      </c>
    </row>
    <row r="36" spans="4:5" x14ac:dyDescent="0.35">
      <c r="D36" s="1" t="s">
        <v>114</v>
      </c>
      <c r="E36" s="2">
        <v>46</v>
      </c>
    </row>
    <row r="37" spans="4:5" x14ac:dyDescent="0.35">
      <c r="D37" s="1" t="s">
        <v>154</v>
      </c>
      <c r="E37" s="2">
        <v>50</v>
      </c>
    </row>
    <row r="38" spans="4:5" x14ac:dyDescent="0.35">
      <c r="D38" s="1" t="s">
        <v>76</v>
      </c>
      <c r="E38" s="2">
        <v>55</v>
      </c>
    </row>
    <row r="39" spans="4:5" x14ac:dyDescent="0.35">
      <c r="D39" s="1" t="s">
        <v>135</v>
      </c>
      <c r="E39" s="2">
        <v>56</v>
      </c>
    </row>
    <row r="40" spans="4:5" x14ac:dyDescent="0.35">
      <c r="D40" s="1" t="s">
        <v>126</v>
      </c>
      <c r="E40" s="2">
        <v>60</v>
      </c>
    </row>
    <row r="41" spans="4:5" x14ac:dyDescent="0.35">
      <c r="D41" s="1" t="s">
        <v>52</v>
      </c>
      <c r="E41" s="2">
        <v>60</v>
      </c>
    </row>
    <row r="42" spans="4:5" x14ac:dyDescent="0.35">
      <c r="D42" s="1" t="s">
        <v>143</v>
      </c>
      <c r="E42" s="2">
        <v>63</v>
      </c>
    </row>
    <row r="43" spans="4:5" x14ac:dyDescent="0.35">
      <c r="D43" s="1" t="s">
        <v>284</v>
      </c>
      <c r="E43" s="2">
        <v>64</v>
      </c>
    </row>
    <row r="44" spans="4:5" x14ac:dyDescent="0.35">
      <c r="D44" s="1" t="s">
        <v>118</v>
      </c>
      <c r="E44" s="2">
        <v>68</v>
      </c>
    </row>
    <row r="45" spans="4:5" x14ac:dyDescent="0.35">
      <c r="D45" s="1" t="s">
        <v>151</v>
      </c>
      <c r="E45" s="2">
        <v>73</v>
      </c>
    </row>
    <row r="46" spans="4:5" x14ac:dyDescent="0.35">
      <c r="D46" s="1" t="s">
        <v>86</v>
      </c>
      <c r="E46" s="2">
        <v>81</v>
      </c>
    </row>
    <row r="47" spans="4:5" x14ac:dyDescent="0.35">
      <c r="D47" s="1" t="s">
        <v>100</v>
      </c>
      <c r="E47" s="2">
        <v>83</v>
      </c>
    </row>
    <row r="48" spans="4:5" x14ac:dyDescent="0.35">
      <c r="D48" s="1" t="s">
        <v>131</v>
      </c>
      <c r="E48" s="2">
        <v>85</v>
      </c>
    </row>
  </sheetData>
  <sortState xmlns:xlrd2="http://schemas.microsoft.com/office/spreadsheetml/2017/richdata2" ref="G1:H19">
    <sortCondition descending="1" ref="H1:H19"/>
  </sortState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35CAB2D1BFB5942A20F5710B1E43F57" ma:contentTypeVersion="22" ma:contentTypeDescription="Create a new document." ma:contentTypeScope="" ma:versionID="f420b3de6283d7823b3563e382750a50">
  <xsd:schema xmlns:xsd="http://www.w3.org/2001/XMLSchema" xmlns:xs="http://www.w3.org/2001/XMLSchema" xmlns:p="http://schemas.microsoft.com/office/2006/metadata/properties" xmlns:ns1="http://schemas.microsoft.com/sharepoint/v3" xmlns:ns2="721dfc99-fedf-49dc-96e4-8b6946f0e489" xmlns:ns3="http://schemas.microsoft.com/sharepoint/v3/fields" xmlns:ns4="dc74d1ae-670c-41ed-9896-4cba0109067e" xmlns:ns5="37513636-cd07-4f62-aa39-05d899fa6391" targetNamespace="http://schemas.microsoft.com/office/2006/metadata/properties" ma:root="true" ma:fieldsID="541635496f76ac18f679c9df5bd923ce" ns1:_="" ns2:_="" ns3:_="" ns4:_="" ns5:_="">
    <xsd:import namespace="http://schemas.microsoft.com/sharepoint/v3"/>
    <xsd:import namespace="721dfc99-fedf-49dc-96e4-8b6946f0e489"/>
    <xsd:import namespace="http://schemas.microsoft.com/sharepoint/v3/fields"/>
    <xsd:import namespace="dc74d1ae-670c-41ed-9896-4cba0109067e"/>
    <xsd:import namespace="37513636-cd07-4f62-aa39-05d899fa6391"/>
    <xsd:element name="properties">
      <xsd:complexType>
        <xsd:sequence>
          <xsd:element name="documentManagement">
            <xsd:complexType>
              <xsd:all>
                <xsd:element ref="ns2:jd73fa51810a419097941bb37278231e" minOccurs="0"/>
                <xsd:element ref="ns2:TaxCatchAll" minOccurs="0"/>
                <xsd:element ref="ns2:TaxCatchAllLabel" minOccurs="0"/>
                <xsd:element ref="ns3:_Status" minOccurs="0"/>
                <xsd:element ref="ns4:MediaServiceKeyPoints" minOccurs="0"/>
                <xsd:element ref="ns4:MediaServiceDateTaken" minOccurs="0"/>
                <xsd:element ref="ns4:MediaLengthInSeconds" minOccurs="0"/>
                <xsd:element ref="ns1:_ip_UnifiedCompliancePolicyProperties" minOccurs="0"/>
                <xsd:element ref="ns1:_ip_UnifiedCompliancePolicyUIAction" minOccurs="0"/>
                <xsd:element ref="ns4:lcf76f155ced4ddcb4097134ff3c332f" minOccurs="0"/>
                <xsd:element ref="ns5:SharedWithDetails" minOccurs="0"/>
                <xsd:element ref="ns4:MediaServiceOCR" minOccurs="0"/>
                <xsd:element ref="ns4:MediaServiceGenerationTime" minOccurs="0"/>
                <xsd:element ref="ns4:MediaServiceEventHashCode" minOccurs="0"/>
                <xsd:element ref="ns4:Comment" minOccurs="0"/>
                <xsd:element ref="ns4:MediaServiceObjectDetectorVersions" minOccurs="0"/>
                <xsd:element ref="ns4:MediaServiceSearchProperties" minOccurs="0"/>
                <xsd:element ref="ns5:SharedWithUsers" minOccurs="0"/>
                <xsd:element ref="ns4:MediaServiceMetadata" minOccurs="0"/>
                <xsd:element ref="ns4:MediaServiceFastMetadata" minOccurs="0"/>
                <xsd:element ref="ns4:MediaServiceAutoKeyPoint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16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17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21dfc99-fedf-49dc-96e4-8b6946f0e489" elementFormDefault="qualified">
    <xsd:import namespace="http://schemas.microsoft.com/office/2006/documentManagement/types"/>
    <xsd:import namespace="http://schemas.microsoft.com/office/infopath/2007/PartnerControls"/>
    <xsd:element name="jd73fa51810a419097941bb37278231e" ma:index="8" nillable="true" ma:taxonomy="true" ma:internalName="jd73fa51810a419097941bb37278231e" ma:taxonomyFieldName="Function" ma:displayName="Function" ma:fieldId="{3d73fa51-810a-4190-9794-1bb37278231e}" ma:taxonomyMulti="true" ma:sspId="ba3587f9-4050-4fd4-83f5-ccf6ce55d17a" ma:termSetId="0a978c8d-9867-4c32-8daf-5d694ffdfdfc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TaxCatchAll" ma:index="9" nillable="true" ma:displayName="Taxonomy Catch All Column" ma:hidden="true" ma:list="{41ea9a2c-8017-48ca-9445-e4fe0f317cce}" ma:internalName="TaxCatchAll" ma:showField="CatchAllData" ma:web="37513636-cd07-4f62-aa39-05d899fa639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Label" ma:index="10" nillable="true" ma:displayName="Taxonomy Catch All Column1" ma:hidden="true" ma:list="{41ea9a2c-8017-48ca-9445-e4fe0f317cce}" ma:internalName="TaxCatchAllLabel" ma:readOnly="true" ma:showField="CatchAllDataLabel" ma:web="37513636-cd07-4f62-aa39-05d899fa639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/fields" elementFormDefault="qualified">
    <xsd:import namespace="http://schemas.microsoft.com/office/2006/documentManagement/types"/>
    <xsd:import namespace="http://schemas.microsoft.com/office/infopath/2007/PartnerControls"/>
    <xsd:element name="_Status" ma:index="12" nillable="true" ma:displayName="Status" ma:default="Draft" ma:format="Dropdown" ma:internalName="_Status">
      <xsd:simpleType>
        <xsd:restriction base="dms:Choice">
          <xsd:enumeration value="Draft"/>
          <xsd:enumeration value="Under Review"/>
          <xsd:enumeration value="Published"/>
          <xsd:enumeration value="Archived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c74d1ae-670c-41ed-9896-4cba0109067e" elementFormDefault="qualified">
    <xsd:import namespace="http://schemas.microsoft.com/office/2006/documentManagement/types"/>
    <xsd:import namespace="http://schemas.microsoft.com/office/infopath/2007/PartnerControls"/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9" nillable="true" ma:taxonomy="true" ma:internalName="lcf76f155ced4ddcb4097134ff3c332f" ma:taxonomyFieldName="MediaServiceImageTags" ma:displayName="Image Tags" ma:readOnly="false" ma:fieldId="{5cf76f15-5ced-4ddc-b409-7134ff3c332f}" ma:taxonomyMulti="true" ma:sspId="ba3587f9-4050-4fd4-83f5-ccf6ce55d17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3" nillable="true" ma:displayName="MediaServiceEventHashCode" ma:hidden="true" ma:internalName="MediaServiceEventHashCode" ma:readOnly="true">
      <xsd:simpleType>
        <xsd:restriction base="dms:Text"/>
      </xsd:simpleType>
    </xsd:element>
    <xsd:element name="Comment" ma:index="24" nillable="true" ma:displayName="Comment" ma:format="Dropdown" ma:internalName="Comment">
      <xsd:simpleType>
        <xsd:restriction base="dms:Text">
          <xsd:maxLength value="255"/>
        </xsd:restriction>
      </xsd:simpleType>
    </xsd:element>
    <xsd:element name="MediaServiceObjectDetectorVersions" ma:index="2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6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Metadata" ma:index="2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2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30" nillable="true" ma:displayName="MediaServiceAutoKeyPoints" ma:hidden="true" ma:internalName="MediaServiceAutoKeyPoint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7513636-cd07-4f62-aa39-05d899fa6391" elementFormDefault="qualified">
    <xsd:import namespace="http://schemas.microsoft.com/office/2006/documentManagement/types"/>
    <xsd:import namespace="http://schemas.microsoft.com/office/infopath/2007/PartnerControls"/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edWithUsers" ma:index="27" nillable="true" ma:displayName="Shared With" ma:SearchPeopleOnly="false" ma:SharePointGroup="0" ma:internalName="SharedWithUsers" ma:readOnly="true" ma:showField="ImnNam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 ma:displayName="Status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SharedContentType xmlns="Microsoft.SharePoint.Taxonomy.ContentTypeSync" SourceId="ba3587f9-4050-4fd4-83f5-ccf6ce55d17a" ContentTypeId="0x0101" PreviousValue="false"/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ip_UnifiedCompliancePolicyUIAction xmlns="http://schemas.microsoft.com/sharepoint/v3" xsi:nil="true"/>
    <TaxCatchAll xmlns="721dfc99-fedf-49dc-96e4-8b6946f0e489" xsi:nil="true"/>
    <_Status xmlns="http://schemas.microsoft.com/sharepoint/v3/fields">Draft</_Status>
    <lcf76f155ced4ddcb4097134ff3c332f xmlns="dc74d1ae-670c-41ed-9896-4cba0109067e">
      <Terms xmlns="http://schemas.microsoft.com/office/infopath/2007/PartnerControls"/>
    </lcf76f155ced4ddcb4097134ff3c332f>
    <_ip_UnifiedCompliancePolicyProperties xmlns="http://schemas.microsoft.com/sharepoint/v3" xsi:nil="true"/>
    <Comment xmlns="dc74d1ae-670c-41ed-9896-4cba0109067e" xsi:nil="true"/>
    <jd73fa51810a419097941bb37278231e xmlns="721dfc99-fedf-49dc-96e4-8b6946f0e489">
      <Terms xmlns="http://schemas.microsoft.com/office/infopath/2007/PartnerControls"/>
    </jd73fa51810a419097941bb37278231e>
  </documentManagement>
</p:properties>
</file>

<file path=customXml/itemProps1.xml><?xml version="1.0" encoding="utf-8"?>
<ds:datastoreItem xmlns:ds="http://schemas.openxmlformats.org/officeDocument/2006/customXml" ds:itemID="{007291BB-E7C1-41E6-B4E1-AA5FDDFADFB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721dfc99-fedf-49dc-96e4-8b6946f0e489"/>
    <ds:schemaRef ds:uri="http://schemas.microsoft.com/sharepoint/v3/fields"/>
    <ds:schemaRef ds:uri="dc74d1ae-670c-41ed-9896-4cba0109067e"/>
    <ds:schemaRef ds:uri="37513636-cd07-4f62-aa39-05d899fa639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66CB48C8-A719-4216-A79E-FCEC641C15C6}">
  <ds:schemaRefs>
    <ds:schemaRef ds:uri="Microsoft.SharePoint.Taxonomy.ContentTypeSync"/>
  </ds:schemaRefs>
</ds:datastoreItem>
</file>

<file path=customXml/itemProps3.xml><?xml version="1.0" encoding="utf-8"?>
<ds:datastoreItem xmlns:ds="http://schemas.openxmlformats.org/officeDocument/2006/customXml" ds:itemID="{3B8E7FBF-934E-4B2F-82FD-1F264DBE7A89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F989BE2C-0FFF-4390-9E78-D618C70A35A4}">
  <ds:schemaRefs>
    <ds:schemaRef ds:uri="http://schemas.microsoft.com/office/2006/metadata/properties"/>
    <ds:schemaRef ds:uri="http://schemas.microsoft.com/office/infopath/2007/PartnerControls"/>
    <ds:schemaRef ds:uri="http://schemas.microsoft.com/sharepoint/v3"/>
    <ds:schemaRef ds:uri="721dfc99-fedf-49dc-96e4-8b6946f0e489"/>
    <ds:schemaRef ds:uri="http://schemas.microsoft.com/sharepoint/v3/fields"/>
    <ds:schemaRef ds:uri="dc74d1ae-670c-41ed-9896-4cba0109067e"/>
  </ds:schemaRefs>
</ds:datastoreItem>
</file>

<file path=docMetadata/LabelInfo.xml><?xml version="1.0" encoding="utf-8"?>
<clbl:labelList xmlns:clbl="http://schemas.microsoft.com/office/2020/mipLabelMetadata">
  <clbl:label id="{65702634-9238-4587-9a06-fc24112cac65}" enabled="1" method="Standard" siteId="{6100085b-238b-42c7-9fdb-aeceabcd05c2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Stephen Jessop</dc:creator>
  <cp:keywords/>
  <dc:description/>
  <cp:lastModifiedBy>Deepak POWAR</cp:lastModifiedBy>
  <cp:revision/>
  <dcterms:created xsi:type="dcterms:W3CDTF">2026-05-25T21:45:08Z</dcterms:created>
  <dcterms:modified xsi:type="dcterms:W3CDTF">2026-07-15T21:35:15Z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0x010100A35CAB2D1BFB5942A20F5710B1E43F57</vt:lpwstr>
  </property>
  <property fmtid="{D5CDD505-2E9C-101B-9397-08002B2CF9AE}" pid="3" name="MediaServiceImageTags">
    <vt:lpwstr/>
  </property>
  <property fmtid="{D5CDD505-2E9C-101B-9397-08002B2CF9AE}" pid="4" name="Function">
    <vt:lpwstr/>
  </property>
</Properties>
</file>