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888" documentId="8_{C42A4063-8679-421F-B2A4-8DD3F65A1D1D}" xr6:coauthVersionLast="47" xr6:coauthVersionMax="47" xr10:uidLastSave="{AE7EECB4-0B29-4D51-8DD5-E51752159449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<sst xmlns="http://schemas.openxmlformats.org/spreadsheetml/2006/main" count="2093" uniqueCount="326">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</sst>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R2" activePane="bottomRight" state="frozen"/>
      <selection pane="topRight" activeCell="L1" sqref="L1"/>
      <selection pane="bottomLeft" activeCell="A2" sqref="A2"/>
      <selection pane="bottomRight" activeCell="R16" sqref="R16"/>
    </sheetView>
  </sheetViews>
  <sheetFormatPr defaultColWidth="6.54296875" defaultRowHeight="14.5" x14ac:dyDescent="0.35"/>
  <cols>
    <col min="1" max="1" width="21.54296875" style="6" bestFit="1" customWidth="1"/>
    <col min="2" max="2" width="3.1796875" style="6" bestFit="1" customWidth="1"/>
    <col min="3" max="3" width="11.7265625" style="6" bestFit="1" customWidth="1"/>
    <col min="4" max="4" width="30.7265625" style="6" bestFit="1" customWidth="1"/>
    <col min="5" max="5" width="23.453125" style="10" bestFit="1" customWidth="1"/>
    <col min="6" max="6" width="6.7265625" style="6" bestFit="1" customWidth="1"/>
    <col min="7" max="8" width="12.2695312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9" style="6" bestFit="1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9" style="6" bestFit="1" customWidth="1"/>
    <col min="18" max="18" width="12.453125" style="6" bestFit="1" customWidth="1"/>
    <col min="19" max="19" width="9" style="6" bestFit="1" customWidth="1"/>
    <col min="20" max="20" width="11.453125" style="6" bestFit="1" customWidth="1"/>
    <col min="21" max="21" width="9.453125" style="6" bestFit="1" customWidth="1"/>
    <col min="22" max="22" width="22.54296875" style="6" bestFit="1" customWidth="1"/>
    <col min="23" max="23" width="9.453125" style="6" bestFit="1" customWidth="1"/>
    <col min="24" max="24" width="12.26953125" style="6" bestFit="1" customWidth="1"/>
    <col min="25" max="25" width="9.453125" style="6" bestFit="1" customWidth="1"/>
    <col min="26" max="26" width="22.54296875" style="6" bestFit="1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9.453125" style="6" bestFit="1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6" t="s">
        <v>60</v>
      </c>
      <c r="AU18" s="6" t="str">
        <f t="shared" si="17"/>
        <v>Matched</v>
      </c>
      <c r="AV18" s="17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6" t="s">
        <v>136</v>
      </c>
      <c r="AU19" s="6" t="str">
        <f t="shared" si="17"/>
        <v>Matched</v>
      </c>
      <c r="AV19" s="17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6" t="s">
        <v>48</v>
      </c>
      <c r="AU20" s="6" t="str">
        <f t="shared" si="17"/>
        <v>Matched</v>
      </c>
      <c r="AV20" s="17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6" t="s">
        <v>142</v>
      </c>
      <c r="AU21" s="6" t="str">
        <f t="shared" si="17"/>
        <v>Matched</v>
      </c>
      <c r="AV21" s="17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No Match</v>
      </c>
      <c r="AV22" s="17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/>
      <c r="L23" s="6" t="s">
        <v>59</v>
      </c>
      <c r="M23" s="1" t="str">
        <f t="shared" si="0"/>
        <v>TBP</v>
      </c>
      <c r="N23" s="6" t="s">
        <v>59</v>
      </c>
      <c r="O23" s="1" t="str">
        <f t="shared" si="1"/>
        <v>TBP</v>
      </c>
      <c r="P23" s="6" t="s">
        <v>106</v>
      </c>
      <c r="Q23" s="1" t="str">
        <f t="shared" si="2"/>
        <v>TBP</v>
      </c>
      <c r="R23" s="6" t="s">
        <v>67</v>
      </c>
      <c r="S23" s="1" t="str">
        <f t="shared" si="3"/>
        <v>TBP</v>
      </c>
      <c r="T23" s="1" t="s">
        <v>106</v>
      </c>
      <c r="U23" s="6" t="str">
        <f t="shared" si="4"/>
        <v>TBP</v>
      </c>
      <c r="V23" s="6" t="s">
        <v>67</v>
      </c>
      <c r="W23" s="6" t="str">
        <f t="shared" si="5"/>
        <v>TBP</v>
      </c>
      <c r="X23" s="6" t="s">
        <v>67</v>
      </c>
      <c r="Y23" s="6" t="str">
        <f t="shared" si="6"/>
        <v>TBP</v>
      </c>
      <c r="Z23" s="6" t="s">
        <v>67</v>
      </c>
      <c r="AA23" s="6" t="str">
        <f t="shared" si="7"/>
        <v>TBP</v>
      </c>
      <c r="AB23" s="6" t="s">
        <v>67</v>
      </c>
      <c r="AC23" s="6" t="str">
        <f t="shared" si="8"/>
        <v>TBP</v>
      </c>
      <c r="AD23" s="6" t="s">
        <v>67</v>
      </c>
      <c r="AE23" s="6" t="str">
        <f t="shared" si="9"/>
        <v>TBP</v>
      </c>
      <c r="AF23" s="6" t="s">
        <v>67</v>
      </c>
      <c r="AG23" s="6" t="str">
        <f t="shared" si="10"/>
        <v>TBP</v>
      </c>
      <c r="AH23" s="6" t="s">
        <v>67</v>
      </c>
      <c r="AI23" s="6" t="str">
        <f t="shared" si="11"/>
        <v>TBP</v>
      </c>
      <c r="AJ23" s="14" t="s">
        <v>67</v>
      </c>
      <c r="AK23" s="6" t="str">
        <f t="shared" si="12"/>
        <v>TBP</v>
      </c>
      <c r="AL23" s="14" t="s">
        <v>67</v>
      </c>
      <c r="AM23" s="6" t="str">
        <f t="shared" si="13"/>
        <v>TBP</v>
      </c>
      <c r="AN23" s="6" t="s">
        <v>67</v>
      </c>
      <c r="AO23" s="6" t="str">
        <f t="shared" si="14"/>
        <v>TBP</v>
      </c>
      <c r="AP23" s="6" t="s">
        <v>106</v>
      </c>
      <c r="AQ23" s="6" t="str">
        <f t="shared" si="15"/>
        <v>TBP</v>
      </c>
      <c r="AR23" s="6" t="s">
        <v>67</v>
      </c>
      <c r="AS23" s="6" t="str">
        <f t="shared" si="16"/>
        <v>No Match</v>
      </c>
      <c r="AT23" s="16" t="s">
        <v>67</v>
      </c>
      <c r="AU23" s="6" t="str">
        <f t="shared" si="17"/>
        <v>TBP</v>
      </c>
      <c r="AV23" s="17" t="s">
        <v>67</v>
      </c>
      <c r="AW23" s="6" t="str">
        <f t="shared" si="18"/>
        <v>TBP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/>
      <c r="L24" s="6" t="s">
        <v>152</v>
      </c>
      <c r="M24" s="1" t="str">
        <f t="shared" si="0"/>
        <v>TBP</v>
      </c>
      <c r="N24" s="6" t="s">
        <v>152</v>
      </c>
      <c r="O24" s="1" t="str">
        <f t="shared" si="1"/>
        <v>TBP</v>
      </c>
      <c r="P24" s="6" t="s">
        <v>151</v>
      </c>
      <c r="Q24" s="1" t="str">
        <f t="shared" si="2"/>
        <v>TBP</v>
      </c>
      <c r="R24" s="1" t="s">
        <v>151</v>
      </c>
      <c r="S24" s="1" t="str">
        <f t="shared" si="3"/>
        <v>TBP</v>
      </c>
      <c r="T24" s="1" t="s">
        <v>151</v>
      </c>
      <c r="U24" s="6" t="str">
        <f t="shared" si="4"/>
        <v>TBP</v>
      </c>
      <c r="V24" s="6" t="s">
        <v>151</v>
      </c>
      <c r="W24" s="6" t="str">
        <f t="shared" si="5"/>
        <v>TBP</v>
      </c>
      <c r="X24" s="6" t="s">
        <v>59</v>
      </c>
      <c r="Y24" s="6" t="str">
        <f t="shared" si="6"/>
        <v>TBP</v>
      </c>
      <c r="Z24" s="6" t="s">
        <v>151</v>
      </c>
      <c r="AA24" s="6" t="str">
        <f t="shared" si="7"/>
        <v>TBP</v>
      </c>
      <c r="AB24" s="6" t="s">
        <v>151</v>
      </c>
      <c r="AC24" s="6" t="str">
        <f t="shared" si="8"/>
        <v>TBP</v>
      </c>
      <c r="AD24" s="6" t="s">
        <v>152</v>
      </c>
      <c r="AE24" s="6" t="str">
        <f t="shared" si="9"/>
        <v>TBP</v>
      </c>
      <c r="AF24" s="6" t="s">
        <v>151</v>
      </c>
      <c r="AG24" s="6" t="str">
        <f t="shared" si="10"/>
        <v>TBP</v>
      </c>
      <c r="AH24" s="6" t="s">
        <v>151</v>
      </c>
      <c r="AI24" s="6" t="str">
        <f t="shared" si="11"/>
        <v>TBP</v>
      </c>
      <c r="AJ24" s="6" t="s">
        <v>152</v>
      </c>
      <c r="AK24" s="6" t="str">
        <f t="shared" si="12"/>
        <v>TBP</v>
      </c>
      <c r="AL24" s="14" t="s">
        <v>151</v>
      </c>
      <c r="AM24" s="6" t="str">
        <f t="shared" si="13"/>
        <v>TBP</v>
      </c>
      <c r="AN24" s="6" t="s">
        <v>152</v>
      </c>
      <c r="AO24" s="6" t="str">
        <f t="shared" si="14"/>
        <v>TBP</v>
      </c>
      <c r="AP24" s="6" t="s">
        <v>151</v>
      </c>
      <c r="AQ24" s="6" t="str">
        <f t="shared" si="15"/>
        <v>TBP</v>
      </c>
      <c r="AR24" s="6" t="s">
        <v>151</v>
      </c>
      <c r="AS24" s="6" t="str">
        <f t="shared" si="16"/>
        <v>No Match</v>
      </c>
      <c r="AT24" s="16" t="s">
        <v>151</v>
      </c>
      <c r="AU24" s="6" t="str">
        <f t="shared" si="17"/>
        <v>TBP</v>
      </c>
      <c r="AV24" s="17" t="s">
        <v>152</v>
      </c>
      <c r="AW24" s="6" t="str">
        <f t="shared" si="18"/>
        <v>TBP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/>
      <c r="L25" s="6" t="s">
        <v>111</v>
      </c>
      <c r="M25" s="1" t="str">
        <f t="shared" si="0"/>
        <v>TBP</v>
      </c>
      <c r="N25" s="1" t="s">
        <v>111</v>
      </c>
      <c r="O25" s="1" t="str">
        <f t="shared" si="1"/>
        <v>TBP</v>
      </c>
      <c r="P25" s="6" t="s">
        <v>111</v>
      </c>
      <c r="Q25" s="1" t="str">
        <f t="shared" si="2"/>
        <v>TBP</v>
      </c>
      <c r="R25" s="1" t="s">
        <v>111</v>
      </c>
      <c r="S25" s="1" t="str">
        <f t="shared" si="3"/>
        <v>TBP</v>
      </c>
      <c r="T25" s="1" t="s">
        <v>111</v>
      </c>
      <c r="U25" s="6" t="str">
        <f t="shared" si="4"/>
        <v>TBP</v>
      </c>
      <c r="V25" s="6" t="s">
        <v>111</v>
      </c>
      <c r="W25" s="6" t="str">
        <f t="shared" si="5"/>
        <v>TBP</v>
      </c>
      <c r="X25" s="6" t="s">
        <v>111</v>
      </c>
      <c r="Y25" s="6" t="str">
        <f t="shared" si="6"/>
        <v>TBP</v>
      </c>
      <c r="Z25" s="6" t="s">
        <v>111</v>
      </c>
      <c r="AA25" s="6" t="str">
        <f t="shared" si="7"/>
        <v>TBP</v>
      </c>
      <c r="AB25" s="6" t="s">
        <v>111</v>
      </c>
      <c r="AC25" s="6" t="str">
        <f t="shared" si="8"/>
        <v>TBP</v>
      </c>
      <c r="AD25" s="6" t="s">
        <v>111</v>
      </c>
      <c r="AE25" s="6" t="str">
        <f t="shared" si="9"/>
        <v>TBP</v>
      </c>
      <c r="AF25" s="6" t="s">
        <v>111</v>
      </c>
      <c r="AG25" s="6" t="str">
        <f t="shared" si="10"/>
        <v>TBP</v>
      </c>
      <c r="AH25" s="6" t="s">
        <v>111</v>
      </c>
      <c r="AI25" s="6" t="str">
        <f t="shared" si="11"/>
        <v>TBP</v>
      </c>
      <c r="AJ25" s="6" t="s">
        <v>111</v>
      </c>
      <c r="AK25" s="6" t="str">
        <f t="shared" si="12"/>
        <v>TBP</v>
      </c>
      <c r="AL25" s="14" t="s">
        <v>111</v>
      </c>
      <c r="AM25" s="6" t="str">
        <f t="shared" si="13"/>
        <v>TBP</v>
      </c>
      <c r="AN25" s="6" t="s">
        <v>111</v>
      </c>
      <c r="AO25" s="6" t="str">
        <f t="shared" si="14"/>
        <v>TBP</v>
      </c>
      <c r="AP25" s="6" t="s">
        <v>111</v>
      </c>
      <c r="AQ25" s="6" t="str">
        <f t="shared" si="15"/>
        <v>TBP</v>
      </c>
      <c r="AR25" s="6" t="s">
        <v>111</v>
      </c>
      <c r="AS25" s="6" t="str">
        <f t="shared" si="16"/>
        <v>No Match</v>
      </c>
      <c r="AT25" s="16" t="s">
        <v>111</v>
      </c>
      <c r="AU25" s="6" t="str">
        <f t="shared" si="17"/>
        <v>TBP</v>
      </c>
      <c r="AV25" s="17" t="s">
        <v>111</v>
      </c>
      <c r="AW25" s="6" t="str">
        <f t="shared" si="18"/>
        <v>TBP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5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9" t="s">
        <v>57</v>
      </c>
      <c r="AC26" s="6" t="str">
        <f t="shared" si="8"/>
        <v>TBP</v>
      </c>
      <c r="AD26" s="19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4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TBP</v>
      </c>
      <c r="AV26" s="17" t="s">
        <v>57</v>
      </c>
      <c r="AW26" s="6" t="str">
        <f t="shared" si="18"/>
        <v>TBP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5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5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6" t="s">
        <v>77</v>
      </c>
      <c r="AU27" s="6" t="str">
        <f t="shared" si="17"/>
        <v>TBP</v>
      </c>
      <c r="AV27" s="17" t="s">
        <v>77</v>
      </c>
      <c r="AW27" s="6" t="str">
        <f t="shared" si="18"/>
        <v>TBP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6" t="s">
        <v>59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6" t="s">
        <v>131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3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29" x14ac:dyDescent="0.3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3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3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3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3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3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3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3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3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3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3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3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3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3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3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3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3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3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3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3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3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3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3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3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8</v>
      </c>
      <c r="N74" s="1"/>
      <c r="O74" s="5">
        <f>COUNTIF(O2:O73, "Matched")</f>
        <v>11</v>
      </c>
      <c r="P74" s="1"/>
      <c r="Q74" s="5">
        <f>COUNTIF(Q2:Q73, "Matched")</f>
        <v>10</v>
      </c>
      <c r="R74" s="1"/>
      <c r="S74" s="5">
        <f>COUNTIF(S2:S73, "Matched")</f>
        <v>9</v>
      </c>
      <c r="T74" s="1"/>
      <c r="U74" s="5">
        <f>COUNTIF(U2:U73, "Matched")</f>
        <v>8</v>
      </c>
      <c r="V74" s="1"/>
      <c r="W74" s="5">
        <f>COUNTIF(W2:W73, "Matched")</f>
        <v>10</v>
      </c>
      <c r="X74" s="1"/>
      <c r="Y74" s="5">
        <f>COUNTIF(Y2:Y73, "Matched")</f>
        <v>10</v>
      </c>
      <c r="Z74" s="1"/>
      <c r="AA74" s="5">
        <f>COUNTIF(AA2:AA73, "Matched")</f>
        <v>10</v>
      </c>
      <c r="AB74" s="1"/>
      <c r="AC74" s="5">
        <f>COUNTIF(AC2:AC73, "Matched")</f>
        <v>10</v>
      </c>
      <c r="AD74" s="1"/>
      <c r="AE74" s="5">
        <f>COUNTIF(AE2:AE73, "Matched")</f>
        <v>10</v>
      </c>
      <c r="AF74" s="1"/>
      <c r="AG74" s="5">
        <f>COUNTIF(AG2:AG73, "Matched")</f>
        <v>11</v>
      </c>
      <c r="AH74" s="1"/>
      <c r="AI74" s="5">
        <f>COUNTIF(AI2:AI73, "Matched")</f>
        <v>9</v>
      </c>
      <c r="AJ74" s="1"/>
      <c r="AK74" s="5">
        <f>COUNTIF(AK2:AK73, "Matched")</f>
        <v>6</v>
      </c>
      <c r="AL74" s="1"/>
      <c r="AM74" s="5">
        <f>COUNTIF(AM2:AM73, "Matched")</f>
        <v>10</v>
      </c>
      <c r="AN74" s="1"/>
      <c r="AO74" s="5">
        <f>COUNTIF(AO2:AO73, "Matched")</f>
        <v>10</v>
      </c>
      <c r="AP74" s="1"/>
      <c r="AQ74" s="5">
        <f>COUNTIF(AQ2:AQ73, "Matched")</f>
        <v>9</v>
      </c>
      <c r="AR74" s="1"/>
      <c r="AS74" s="5">
        <f>COUNTIF(AS2:AS73, "Matched")</f>
        <v>11</v>
      </c>
      <c r="AT74" s="1"/>
      <c r="AU74" s="5">
        <f>COUNTIF(AU2:AU73, "Matched")</f>
        <v>10</v>
      </c>
      <c r="AV74" s="1"/>
      <c r="AW74" s="5">
        <f>COUNTIF(AW2:AW73, "Matched")</f>
        <v>10</v>
      </c>
    </row>
    <row r="75" spans="3:49" x14ac:dyDescent="0.3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3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3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3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3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3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3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3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3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3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3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3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3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3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3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3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3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3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3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3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3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3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3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3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3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3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3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3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3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3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3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3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3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3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4.5" x14ac:dyDescent="0.35"/>
  <cols>
    <col min="1" max="1" width="15.81640625" customWidth="1"/>
    <col min="2" max="2" width="12.7265625" customWidth="1"/>
    <col min="4" max="4" width="27.26953125" customWidth="1"/>
    <col min="7" max="7" width="11.26953125" bestFit="1" customWidth="1"/>
  </cols>
  <sheetData>
    <row r="1" spans="1:8" x14ac:dyDescent="0.3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3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3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3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3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3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3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3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3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3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3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3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3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3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3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3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3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3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3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3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325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89BE2C-0FFF-4390-9E78-D618C70A35A4}">
  <ds:schemaRefs>
    <ds:schemaRef ds:uri="dc74d1ae-670c-41ed-9896-4cba0109067e"/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http://schemas.microsoft.com/sharepoint/v3/fields"/>
    <ds:schemaRef ds:uri="721dfc99-fedf-49dc-96e4-8b6946f0e489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37513636-cd07-4f62-aa39-05d899fa6391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Peter Hewitt</cp:lastModifiedBy>
  <cp:revision/>
  <dcterms:created xsi:type="dcterms:W3CDTF">2026-05-25T21:45:08Z</dcterms:created>
  <dcterms:modified xsi:type="dcterms:W3CDTF">2026-06-17T20:09:35Z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