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.sharepoint.com/sites/CloudSharedPlatforms/Shared Documents/General/Fun Stuff/FIFA World Cup 2026/"/>
    </mc:Choice>
  </mc:AlternateContent>
  <xr:revisionPtr revIDLastSave="1920" documentId="8_{C42A4063-8679-421F-B2A4-8DD3F65A1D1D}" xr6:coauthVersionLast="47" xr6:coauthVersionMax="47" xr10:uidLastSave="{FFEFC66F-894E-46A6-90A5-786D68BA2F83}"/>
  <bookViews>
    <workbookView xWindow="-120" yWindow="-12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<sst xmlns="http://schemas.openxmlformats.org/spreadsheetml/2006/main" count="2108" uniqueCount="326">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</sst>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7" fillId="0" borderId="1" xfId="0" applyFont="1" applyBorder="1" applyAlignment="1">
      <alignment horizontal="center" wrapText="1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="80" zoomScaleNormal="80" workbookViewId="0">
      <pane xSplit="11" ySplit="1" topLeftCell="L21" activePane="bottomRight" state="frozen"/>
      <selection pane="topRight" activeCell="L1" sqref="L1"/>
      <selection pane="bottomLeft" activeCell="A2" sqref="A2"/>
      <selection pane="bottomRight" activeCell="K38" sqref="K38"/>
    </sheetView>
  </sheetViews>
  <sheetFormatPr defaultColWidth="6.5703125" defaultRowHeight="15" x14ac:dyDescent="0.25"/>
  <cols>
    <col min="1" max="1" width="21.5703125" style="6" bestFit="1" customWidth="1"/>
    <col min="2" max="2" width="3.140625" style="6" bestFit="1" customWidth="1"/>
    <col min="3" max="3" width="11.7109375" style="6" bestFit="1" customWidth="1"/>
    <col min="4" max="4" width="30.7109375" style="6" bestFit="1" customWidth="1"/>
    <col min="5" max="5" width="23.42578125" style="10" bestFit="1" customWidth="1"/>
    <col min="6" max="6" width="6.7109375" style="6" bestFit="1" customWidth="1"/>
    <col min="7" max="8" width="12.28515625" style="6" bestFit="1" customWidth="1"/>
    <col min="9" max="9" width="6.42578125" style="6" bestFit="1" customWidth="1"/>
    <col min="10" max="10" width="31.5703125" style="6" bestFit="1" customWidth="1"/>
    <col min="11" max="11" width="11.42578125" style="6" bestFit="1" customWidth="1"/>
    <col min="12" max="12" width="12.42578125" style="6" bestFit="1" customWidth="1"/>
    <col min="13" max="13" width="9" style="6" bestFit="1" customWidth="1"/>
    <col min="14" max="14" width="12.42578125" style="6" bestFit="1" customWidth="1"/>
    <col min="15" max="15" width="9" style="6" bestFit="1" customWidth="1"/>
    <col min="16" max="16" width="12.42578125" style="6" bestFit="1" customWidth="1"/>
    <col min="17" max="17" width="9" style="6" bestFit="1" customWidth="1"/>
    <col min="18" max="18" width="12.42578125" style="6" bestFit="1" customWidth="1"/>
    <col min="19" max="19" width="9" style="6" bestFit="1" customWidth="1"/>
    <col min="20" max="20" width="11.42578125" style="6" bestFit="1" customWidth="1"/>
    <col min="21" max="21" width="9.42578125" style="6" bestFit="1" customWidth="1"/>
    <col min="22" max="22" width="22.5703125" style="6" bestFit="1" customWidth="1"/>
    <col min="23" max="23" width="9.42578125" style="6" bestFit="1" customWidth="1"/>
    <col min="24" max="24" width="12.28515625" style="6" bestFit="1" customWidth="1"/>
    <col min="25" max="25" width="9.42578125" style="6" bestFit="1" customWidth="1"/>
    <col min="26" max="26" width="22.5703125" style="6" bestFit="1" customWidth="1"/>
    <col min="27" max="27" width="9.42578125" style="6" bestFit="1" customWidth="1"/>
    <col min="28" max="28" width="12.42578125" style="6" bestFit="1" customWidth="1"/>
    <col min="29" max="29" width="9.42578125" style="6" bestFit="1" customWidth="1"/>
    <col min="30" max="30" width="12.42578125" style="6" bestFit="1" customWidth="1"/>
    <col min="31" max="31" width="9.42578125" style="6" bestFit="1" customWidth="1"/>
    <col min="32" max="32" width="12.42578125" style="6" bestFit="1" customWidth="1"/>
    <col min="33" max="33" width="9.42578125" style="6" bestFit="1" customWidth="1"/>
    <col min="34" max="34" width="18.5703125" style="6" bestFit="1" customWidth="1"/>
    <col min="35" max="35" width="9.42578125" style="6" bestFit="1" customWidth="1"/>
    <col min="36" max="36" width="12.42578125" style="6" bestFit="1" customWidth="1"/>
    <col min="37" max="37" width="12.5703125" style="6" customWidth="1"/>
    <col min="38" max="38" width="12.42578125" style="6" bestFit="1" customWidth="1"/>
    <col min="39" max="39" width="9.42578125" style="6" bestFit="1" customWidth="1"/>
    <col min="40" max="40" width="22.5703125" style="6" bestFit="1" customWidth="1"/>
    <col min="41" max="41" width="9.42578125" style="6" bestFit="1" customWidth="1"/>
    <col min="42" max="42" width="22.5703125" style="6" bestFit="1" customWidth="1"/>
    <col min="43" max="43" width="9.42578125" style="6" bestFit="1" customWidth="1"/>
    <col min="44" max="44" width="22.5703125" style="6" bestFit="1" customWidth="1"/>
    <col min="45" max="45" width="9.42578125" style="6" bestFit="1" customWidth="1"/>
    <col min="46" max="46" width="22.42578125" style="6" bestFit="1" customWidth="1"/>
    <col min="47" max="47" width="9.42578125" style="6" bestFit="1" customWidth="1"/>
    <col min="48" max="48" width="12.85546875" style="6" bestFit="1" customWidth="1"/>
    <col min="49" max="49" width="9.42578125" style="6" bestFit="1" customWidth="1"/>
    <col min="50" max="16384" width="6.5703125" style="6"/>
  </cols>
  <sheetData>
    <row r="1" spans="1:49" ht="39" x14ac:dyDescent="0.2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2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5" t="s">
        <v>51</v>
      </c>
      <c r="AU2" s="6" t="str">
        <f>AS2</f>
        <v>Matched</v>
      </c>
      <c r="AV2" s="16" t="s">
        <v>51</v>
      </c>
      <c r="AW2" s="6" t="str">
        <f>IF(ISBLANK(K2),"TBP",IF(AV2=K2,"Matched","No Match"))</f>
        <v>Matched</v>
      </c>
    </row>
    <row r="3" spans="1:49" x14ac:dyDescent="0.2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7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5" t="s">
        <v>56</v>
      </c>
      <c r="AU3" s="6" t="str">
        <f t="shared" ref="AU3:AU66" si="17">IF(ISBLANK(K3),"TBP",IF(AT3=K3,"Matched","No Match"))</f>
        <v>Matched</v>
      </c>
      <c r="AV3" s="16" t="s">
        <v>56</v>
      </c>
      <c r="AW3" s="6" t="str">
        <f t="shared" ref="AW3:AW66" si="18">IF(ISBLANK(K3),"TBP",IF(AV3=K3,"Matched","No Match"))</f>
        <v>Matched</v>
      </c>
    </row>
    <row r="4" spans="1:49" ht="26.25" x14ac:dyDescent="0.2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5" t="s">
        <v>64</v>
      </c>
      <c r="AU4" s="6" t="str">
        <f t="shared" si="17"/>
        <v>No Match</v>
      </c>
      <c r="AV4" s="16" t="s">
        <v>64</v>
      </c>
      <c r="AW4" s="6" t="str">
        <f t="shared" si="18"/>
        <v>No Match</v>
      </c>
    </row>
    <row r="5" spans="1:49" ht="26.25" x14ac:dyDescent="0.2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5" t="s">
        <v>71</v>
      </c>
      <c r="AU5" s="6" t="str">
        <f t="shared" si="17"/>
        <v>Matched</v>
      </c>
      <c r="AV5" s="16" t="s">
        <v>71</v>
      </c>
      <c r="AW5" s="6" t="str">
        <f t="shared" si="18"/>
        <v>Matched</v>
      </c>
    </row>
    <row r="6" spans="1:49" x14ac:dyDescent="0.2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8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5" t="s">
        <v>77</v>
      </c>
      <c r="AU6" s="6" t="str">
        <f t="shared" si="17"/>
        <v>No Match</v>
      </c>
      <c r="AV6" s="16" t="s">
        <v>77</v>
      </c>
      <c r="AW6" s="6" t="str">
        <f t="shared" si="18"/>
        <v>No Match</v>
      </c>
    </row>
    <row r="7" spans="1:49" x14ac:dyDescent="0.2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5" t="s">
        <v>79</v>
      </c>
      <c r="AU7" s="6" t="str">
        <f t="shared" si="17"/>
        <v>No Match</v>
      </c>
      <c r="AV7" s="16" t="s">
        <v>79</v>
      </c>
      <c r="AW7" s="6" t="str">
        <f t="shared" si="18"/>
        <v>No Match</v>
      </c>
    </row>
    <row r="8" spans="1:49" x14ac:dyDescent="0.2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5" t="s">
        <v>87</v>
      </c>
      <c r="AU8" s="6" t="str">
        <f t="shared" si="17"/>
        <v>Matched</v>
      </c>
      <c r="AV8" s="16" t="s">
        <v>87</v>
      </c>
      <c r="AW8" s="6" t="str">
        <f t="shared" si="18"/>
        <v>Matched</v>
      </c>
    </row>
    <row r="9" spans="1:49" x14ac:dyDescent="0.2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7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5" t="s">
        <v>93</v>
      </c>
      <c r="AU9" s="6" t="str">
        <f t="shared" si="17"/>
        <v>No Match</v>
      </c>
      <c r="AV9" s="16" t="s">
        <v>93</v>
      </c>
      <c r="AW9" s="6" t="str">
        <f t="shared" si="18"/>
        <v>No Match</v>
      </c>
    </row>
    <row r="10" spans="1:49" x14ac:dyDescent="0.2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5" t="s">
        <v>99</v>
      </c>
      <c r="AU10" s="6" t="str">
        <f t="shared" si="17"/>
        <v>Matched</v>
      </c>
      <c r="AV10" s="16" t="s">
        <v>99</v>
      </c>
      <c r="AW10" s="6" t="str">
        <f t="shared" si="18"/>
        <v>Matched</v>
      </c>
    </row>
    <row r="11" spans="1:49" x14ac:dyDescent="0.2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7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5" t="s">
        <v>89</v>
      </c>
      <c r="AU11" s="6" t="str">
        <f t="shared" si="17"/>
        <v>No Match</v>
      </c>
      <c r="AV11" s="16" t="s">
        <v>89</v>
      </c>
      <c r="AW11" s="6" t="str">
        <f t="shared" si="18"/>
        <v>No Match</v>
      </c>
    </row>
    <row r="12" spans="1:49" x14ac:dyDescent="0.2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5" t="s">
        <v>109</v>
      </c>
      <c r="AU12" s="6" t="str">
        <f t="shared" si="17"/>
        <v>No Match</v>
      </c>
      <c r="AV12" s="16" t="s">
        <v>109</v>
      </c>
      <c r="AW12" s="6" t="str">
        <f t="shared" si="18"/>
        <v>No Match</v>
      </c>
    </row>
    <row r="13" spans="1:49" x14ac:dyDescent="0.2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5" t="s">
        <v>113</v>
      </c>
      <c r="AU13" s="6" t="str">
        <f t="shared" si="17"/>
        <v>Matched</v>
      </c>
      <c r="AV13" s="16" t="s">
        <v>113</v>
      </c>
      <c r="AW13" s="6" t="str">
        <f t="shared" si="18"/>
        <v>Matched</v>
      </c>
    </row>
    <row r="14" spans="1:49" x14ac:dyDescent="0.2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5" t="s">
        <v>54</v>
      </c>
      <c r="AU14" s="6" t="str">
        <f t="shared" si="17"/>
        <v>No Match</v>
      </c>
      <c r="AV14" s="16" t="s">
        <v>54</v>
      </c>
      <c r="AW14" s="6" t="str">
        <f t="shared" si="18"/>
        <v>No Match</v>
      </c>
    </row>
    <row r="15" spans="1:49" x14ac:dyDescent="0.2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5" t="s">
        <v>96</v>
      </c>
      <c r="AU15" s="6" t="str">
        <f t="shared" si="17"/>
        <v>No Match</v>
      </c>
      <c r="AV15" s="16" t="s">
        <v>96</v>
      </c>
      <c r="AW15" s="6" t="str">
        <f t="shared" si="18"/>
        <v>No Match</v>
      </c>
    </row>
    <row r="16" spans="1:49" x14ac:dyDescent="0.2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5" t="s">
        <v>127</v>
      </c>
      <c r="AU16" s="6" t="str">
        <f t="shared" si="17"/>
        <v>No Match</v>
      </c>
      <c r="AV16" s="16" t="s">
        <v>127</v>
      </c>
      <c r="AW16" s="6" t="str">
        <f t="shared" si="18"/>
        <v>No Match</v>
      </c>
    </row>
    <row r="17" spans="1:49" x14ac:dyDescent="0.2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5" t="s">
        <v>130</v>
      </c>
      <c r="AU17" s="6" t="str">
        <f t="shared" si="17"/>
        <v>No Match</v>
      </c>
      <c r="AV17" s="16" t="s">
        <v>130</v>
      </c>
      <c r="AW17" s="6" t="str">
        <f t="shared" si="18"/>
        <v>No Match</v>
      </c>
    </row>
    <row r="18" spans="1:49" x14ac:dyDescent="0.2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5" t="s">
        <v>60</v>
      </c>
      <c r="AU18" s="6" t="str">
        <f t="shared" si="17"/>
        <v>Matched</v>
      </c>
      <c r="AV18" s="16" t="s">
        <v>60</v>
      </c>
      <c r="AW18" s="6" t="str">
        <f t="shared" si="18"/>
        <v>Matched</v>
      </c>
    </row>
    <row r="19" spans="1:49" x14ac:dyDescent="0.2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5" t="s">
        <v>136</v>
      </c>
      <c r="AU19" s="6" t="str">
        <f t="shared" si="17"/>
        <v>Matched</v>
      </c>
      <c r="AV19" s="16" t="s">
        <v>136</v>
      </c>
      <c r="AW19" s="6" t="str">
        <f t="shared" si="18"/>
        <v>Matched</v>
      </c>
    </row>
    <row r="20" spans="1:49" x14ac:dyDescent="0.2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5" t="s">
        <v>48</v>
      </c>
      <c r="AU20" s="6" t="str">
        <f t="shared" si="17"/>
        <v>Matched</v>
      </c>
      <c r="AV20" s="16" t="s">
        <v>48</v>
      </c>
      <c r="AW20" s="6" t="str">
        <f t="shared" si="18"/>
        <v>Matched</v>
      </c>
    </row>
    <row r="21" spans="1:49" x14ac:dyDescent="0.2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5" t="s">
        <v>142</v>
      </c>
      <c r="AU21" s="6" t="str">
        <f t="shared" si="17"/>
        <v>Matched</v>
      </c>
      <c r="AV21" s="16" t="s">
        <v>142</v>
      </c>
      <c r="AW21" s="6" t="str">
        <f t="shared" si="18"/>
        <v>Matched</v>
      </c>
    </row>
    <row r="22" spans="1:49" x14ac:dyDescent="0.2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6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4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5" t="s">
        <v>74</v>
      </c>
      <c r="AU22" s="6" t="str">
        <f t="shared" si="17"/>
        <v>No Match</v>
      </c>
      <c r="AV22" s="16" t="s">
        <v>74</v>
      </c>
      <c r="AW22" s="6" t="str">
        <f t="shared" si="18"/>
        <v>No Match</v>
      </c>
    </row>
    <row r="23" spans="1:49" x14ac:dyDescent="0.2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6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4" t="s">
        <v>67</v>
      </c>
      <c r="AK23" s="6" t="str">
        <f t="shared" si="12"/>
        <v>Matched</v>
      </c>
      <c r="AL23" s="14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5" t="s">
        <v>67</v>
      </c>
      <c r="AU23" s="6" t="str">
        <f t="shared" si="17"/>
        <v>Matched</v>
      </c>
      <c r="AV23" s="16" t="s">
        <v>67</v>
      </c>
      <c r="AW23" s="6" t="str">
        <f t="shared" si="18"/>
        <v>Matched</v>
      </c>
    </row>
    <row r="24" spans="1:49" x14ac:dyDescent="0.2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6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4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5" t="s">
        <v>151</v>
      </c>
      <c r="AU24" s="6" t="str">
        <f t="shared" si="17"/>
        <v>Matched</v>
      </c>
      <c r="AV24" s="16" t="s">
        <v>152</v>
      </c>
      <c r="AW24" s="6" t="str">
        <f t="shared" si="18"/>
        <v>No Match</v>
      </c>
    </row>
    <row r="25" spans="1:49" x14ac:dyDescent="0.2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6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4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5" t="s">
        <v>111</v>
      </c>
      <c r="AU25" s="6" t="str">
        <f t="shared" si="17"/>
        <v>Matched</v>
      </c>
      <c r="AV25" s="16" t="s">
        <v>111</v>
      </c>
      <c r="AW25" s="6" t="str">
        <f t="shared" si="18"/>
        <v>Matched</v>
      </c>
    </row>
    <row r="26" spans="1:49" x14ac:dyDescent="0.2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6" t="s">
        <v>52</v>
      </c>
      <c r="AA26" s="6" t="str">
        <f t="shared" si="7"/>
        <v>No Match</v>
      </c>
      <c r="AB26" s="18" t="s">
        <v>57</v>
      </c>
      <c r="AC26" s="6" t="str">
        <f t="shared" si="8"/>
        <v>No Match</v>
      </c>
      <c r="AD26" s="18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4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5" t="s">
        <v>57</v>
      </c>
      <c r="AU26" s="6" t="str">
        <f t="shared" si="17"/>
        <v>No Match</v>
      </c>
      <c r="AV26" s="16" t="s">
        <v>57</v>
      </c>
      <c r="AW26" s="6" t="str">
        <f t="shared" si="18"/>
        <v>No Match</v>
      </c>
    </row>
    <row r="27" spans="1:49" ht="26.25" x14ac:dyDescent="0.2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4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5" t="s">
        <v>77</v>
      </c>
      <c r="AU27" s="6" t="str">
        <f t="shared" si="17"/>
        <v>Matched</v>
      </c>
      <c r="AV27" s="16" t="s">
        <v>77</v>
      </c>
      <c r="AW27" s="6" t="str">
        <f t="shared" si="18"/>
        <v>Matched</v>
      </c>
    </row>
    <row r="28" spans="1:49" x14ac:dyDescent="0.2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6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4" t="s">
        <v>64</v>
      </c>
      <c r="AK28" s="6" t="str">
        <f t="shared" si="12"/>
        <v>Matched</v>
      </c>
      <c r="AL28" s="14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5" t="s">
        <v>64</v>
      </c>
      <c r="AU28" s="6" t="str">
        <f t="shared" si="17"/>
        <v>Matched</v>
      </c>
      <c r="AV28" s="16" t="s">
        <v>64</v>
      </c>
      <c r="AW28" s="6" t="str">
        <f t="shared" si="18"/>
        <v>Matched</v>
      </c>
    </row>
    <row r="29" spans="1:49" x14ac:dyDescent="0.2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6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4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5" t="s">
        <v>51</v>
      </c>
      <c r="AU29" s="6" t="str">
        <f t="shared" si="17"/>
        <v>Matched</v>
      </c>
      <c r="AV29" s="16" t="s">
        <v>51</v>
      </c>
      <c r="AW29" s="6" t="str">
        <f t="shared" si="18"/>
        <v>Matched</v>
      </c>
    </row>
    <row r="30" spans="1:49" ht="30" x14ac:dyDescent="0.2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6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4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5" t="s">
        <v>71</v>
      </c>
      <c r="AU30" s="6" t="str">
        <f t="shared" si="17"/>
        <v>Matched</v>
      </c>
      <c r="AV30" s="16" t="s">
        <v>71</v>
      </c>
      <c r="AW30" s="6" t="str">
        <f t="shared" si="18"/>
        <v>Matched</v>
      </c>
    </row>
    <row r="31" spans="1:49" x14ac:dyDescent="0.2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6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4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5" t="s">
        <v>83</v>
      </c>
      <c r="AU31" s="6" t="str">
        <f t="shared" si="17"/>
        <v>Matched</v>
      </c>
      <c r="AV31" s="16" t="s">
        <v>83</v>
      </c>
      <c r="AW31" s="6" t="str">
        <f t="shared" si="18"/>
        <v>Matched</v>
      </c>
    </row>
    <row r="32" spans="1:49" x14ac:dyDescent="0.2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6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4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5" t="s">
        <v>79</v>
      </c>
      <c r="AU32" s="6" t="str">
        <f t="shared" si="17"/>
        <v>Matched</v>
      </c>
      <c r="AV32" s="16" t="s">
        <v>79</v>
      </c>
      <c r="AW32" s="6" t="str">
        <f t="shared" si="18"/>
        <v>Matched</v>
      </c>
    </row>
    <row r="33" spans="1:49" x14ac:dyDescent="0.2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7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8" t="s">
        <v>93</v>
      </c>
      <c r="AA33" s="6" t="str">
        <f t="shared" si="7"/>
        <v>No Match</v>
      </c>
      <c r="AB33" s="18" t="s">
        <v>93</v>
      </c>
      <c r="AC33" s="6" t="str">
        <f t="shared" si="8"/>
        <v>No Match</v>
      </c>
      <c r="AD33" s="18" t="s">
        <v>93</v>
      </c>
      <c r="AE33" s="6" t="str">
        <f t="shared" si="9"/>
        <v>No Match</v>
      </c>
      <c r="AF33" s="18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4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9" t="s">
        <v>93</v>
      </c>
      <c r="AS33" s="6" t="str">
        <f t="shared" si="16"/>
        <v>No Match</v>
      </c>
      <c r="AT33" s="15" t="s">
        <v>93</v>
      </c>
      <c r="AU33" s="6" t="str">
        <f t="shared" si="17"/>
        <v>No Match</v>
      </c>
      <c r="AV33" s="16" t="s">
        <v>93</v>
      </c>
      <c r="AW33" s="6" t="str">
        <f t="shared" si="18"/>
        <v>No Match</v>
      </c>
    </row>
    <row r="34" spans="1:49" x14ac:dyDescent="0.2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6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4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5" t="s">
        <v>89</v>
      </c>
      <c r="AU34" s="6" t="str">
        <f t="shared" si="17"/>
        <v>Matched</v>
      </c>
      <c r="AV34" s="16" t="s">
        <v>89</v>
      </c>
      <c r="AW34" s="6" t="str">
        <f t="shared" si="18"/>
        <v>Matched</v>
      </c>
    </row>
    <row r="35" spans="1:49" x14ac:dyDescent="0.2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6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4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5" t="s">
        <v>99</v>
      </c>
      <c r="AU35" s="6" t="str">
        <f t="shared" si="17"/>
        <v>Matched</v>
      </c>
      <c r="AV35" s="16" t="s">
        <v>99</v>
      </c>
      <c r="AW35" s="6" t="str">
        <f t="shared" si="18"/>
        <v>Matched</v>
      </c>
    </row>
    <row r="36" spans="1:49" x14ac:dyDescent="0.2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6" t="s">
        <v>109</v>
      </c>
      <c r="AA36" s="6" t="str">
        <f t="shared" si="7"/>
        <v>No Match</v>
      </c>
      <c r="AB36" s="18" t="s">
        <v>109</v>
      </c>
      <c r="AC36" s="6" t="str">
        <f t="shared" si="8"/>
        <v>No Match</v>
      </c>
      <c r="AD36" s="18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4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5" t="s">
        <v>109</v>
      </c>
      <c r="AU36" s="6" t="str">
        <f t="shared" si="17"/>
        <v>No Match</v>
      </c>
      <c r="AV36" s="16" t="s">
        <v>109</v>
      </c>
      <c r="AW36" s="6" t="str">
        <f t="shared" si="18"/>
        <v>No Match</v>
      </c>
    </row>
    <row r="37" spans="1:49" x14ac:dyDescent="0.2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6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4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5" t="s">
        <v>104</v>
      </c>
      <c r="AU37" s="6" t="str">
        <f t="shared" si="17"/>
        <v>Matched</v>
      </c>
      <c r="AV37" s="16" t="s">
        <v>104</v>
      </c>
      <c r="AW37" s="6" t="str">
        <f t="shared" si="18"/>
        <v>Matched</v>
      </c>
    </row>
    <row r="38" spans="1:49" x14ac:dyDescent="0.2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5" t="s">
        <v>54</v>
      </c>
      <c r="AU38" s="6" t="str">
        <f t="shared" si="17"/>
        <v>TBP</v>
      </c>
      <c r="AV38" s="16" t="s">
        <v>54</v>
      </c>
      <c r="AW38" s="6" t="str">
        <f t="shared" si="18"/>
        <v>TBP</v>
      </c>
    </row>
    <row r="39" spans="1:49" x14ac:dyDescent="0.2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5" t="s">
        <v>96</v>
      </c>
      <c r="AU39" s="6" t="str">
        <f t="shared" si="17"/>
        <v>TBP</v>
      </c>
      <c r="AV39" s="16" t="s">
        <v>96</v>
      </c>
      <c r="AW39" s="6" t="str">
        <f t="shared" si="18"/>
        <v>TBP</v>
      </c>
    </row>
    <row r="40" spans="1:49" x14ac:dyDescent="0.2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5" t="s">
        <v>127</v>
      </c>
      <c r="AU40" s="6" t="str">
        <f t="shared" si="17"/>
        <v>TBP</v>
      </c>
      <c r="AV40" s="16" t="s">
        <v>127</v>
      </c>
      <c r="AW40" s="6" t="str">
        <f t="shared" si="18"/>
        <v>TBP</v>
      </c>
    </row>
    <row r="41" spans="1:49" x14ac:dyDescent="0.2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1" t="s">
        <v>123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5" t="s">
        <v>123</v>
      </c>
      <c r="AU41" s="6" t="str">
        <f t="shared" si="17"/>
        <v>TBP</v>
      </c>
      <c r="AV41" s="16" t="s">
        <v>131</v>
      </c>
      <c r="AW41" s="6" t="str">
        <f t="shared" si="18"/>
        <v>TBP</v>
      </c>
    </row>
    <row r="42" spans="1:49" x14ac:dyDescent="0.2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5" t="s">
        <v>48</v>
      </c>
      <c r="AU42" s="6" t="str">
        <f t="shared" si="17"/>
        <v>TBP</v>
      </c>
      <c r="AV42" s="16" t="s">
        <v>48</v>
      </c>
      <c r="AW42" s="6" t="str">
        <f t="shared" si="18"/>
        <v>TBP</v>
      </c>
    </row>
    <row r="43" spans="1:49" x14ac:dyDescent="0.2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5" t="s">
        <v>60</v>
      </c>
      <c r="AU43" s="6" t="str">
        <f t="shared" si="17"/>
        <v>TBP</v>
      </c>
      <c r="AV43" s="16" t="s">
        <v>60</v>
      </c>
      <c r="AW43" s="6" t="str">
        <f t="shared" si="18"/>
        <v>TBP</v>
      </c>
    </row>
    <row r="44" spans="1:49" x14ac:dyDescent="0.2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136</v>
      </c>
      <c r="AS44" s="6" t="str">
        <f t="shared" si="16"/>
        <v>No Match</v>
      </c>
      <c r="AT44" s="15" t="s">
        <v>120</v>
      </c>
      <c r="AU44" s="6" t="str">
        <f t="shared" si="17"/>
        <v>TBP</v>
      </c>
      <c r="AV44" s="16" t="s">
        <v>120</v>
      </c>
      <c r="AW44" s="6" t="str">
        <f t="shared" si="18"/>
        <v>TBP</v>
      </c>
    </row>
    <row r="45" spans="1:49" x14ac:dyDescent="0.2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5" t="s">
        <v>139</v>
      </c>
      <c r="AU45" s="6" t="str">
        <f t="shared" si="17"/>
        <v>TBP</v>
      </c>
      <c r="AV45" s="16" t="s">
        <v>139</v>
      </c>
      <c r="AW45" s="6" t="str">
        <f t="shared" si="18"/>
        <v>TBP</v>
      </c>
    </row>
    <row r="46" spans="1:49" x14ac:dyDescent="0.2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5" t="s">
        <v>74</v>
      </c>
      <c r="AU46" s="6" t="str">
        <f t="shared" si="17"/>
        <v>TBP</v>
      </c>
      <c r="AV46" s="16" t="s">
        <v>74</v>
      </c>
      <c r="AW46" s="6" t="str">
        <f t="shared" si="18"/>
        <v>TBP</v>
      </c>
    </row>
    <row r="47" spans="1:49" x14ac:dyDescent="0.2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5" t="s">
        <v>67</v>
      </c>
      <c r="AU47" s="6" t="str">
        <f t="shared" si="17"/>
        <v>TBP</v>
      </c>
      <c r="AV47" s="16" t="s">
        <v>67</v>
      </c>
      <c r="AW47" s="6" t="str">
        <f t="shared" si="18"/>
        <v>TBP</v>
      </c>
    </row>
    <row r="48" spans="1:49" x14ac:dyDescent="0.2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5" t="s">
        <v>106</v>
      </c>
      <c r="AU48" s="6" t="str">
        <f t="shared" si="17"/>
        <v>TBP</v>
      </c>
      <c r="AV48" s="16" t="s">
        <v>106</v>
      </c>
      <c r="AW48" s="6" t="str">
        <f t="shared" si="18"/>
        <v>TBP</v>
      </c>
    </row>
    <row r="49" spans="1:49" x14ac:dyDescent="0.2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5" t="s">
        <v>111</v>
      </c>
      <c r="AU49" s="6" t="str">
        <f t="shared" si="17"/>
        <v>TBP</v>
      </c>
      <c r="AV49" s="16" t="s">
        <v>111</v>
      </c>
      <c r="AW49" s="6" t="str">
        <f t="shared" si="18"/>
        <v>TBP</v>
      </c>
    </row>
    <row r="50" spans="1:49" x14ac:dyDescent="0.2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" t="s">
        <v>64</v>
      </c>
      <c r="W50" s="6" t="str">
        <f t="shared" si="5"/>
        <v>TBP</v>
      </c>
      <c r="X50" s="1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5" t="s">
        <v>77</v>
      </c>
      <c r="AU50" s="6" t="str">
        <f t="shared" si="17"/>
        <v>TBP</v>
      </c>
      <c r="AV50" s="16" t="s">
        <v>77</v>
      </c>
      <c r="AW50" s="6" t="str">
        <f t="shared" si="18"/>
        <v>TBP</v>
      </c>
    </row>
    <row r="51" spans="1:49" ht="30" x14ac:dyDescent="0.2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5" t="s">
        <v>65</v>
      </c>
      <c r="AU51" s="6" t="str">
        <f t="shared" si="17"/>
        <v>TBP</v>
      </c>
      <c r="AV51" s="16" t="s">
        <v>76</v>
      </c>
      <c r="AW51" s="6" t="str">
        <f t="shared" si="18"/>
        <v>TBP</v>
      </c>
    </row>
    <row r="52" spans="1:49" x14ac:dyDescent="0.2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5" t="s">
        <v>79</v>
      </c>
      <c r="AU52" s="6" t="str">
        <f t="shared" si="17"/>
        <v>TBP</v>
      </c>
      <c r="AV52" s="16" t="s">
        <v>79</v>
      </c>
      <c r="AW52" s="6" t="str">
        <f t="shared" si="18"/>
        <v>TBP</v>
      </c>
    </row>
    <row r="53" spans="1:49" x14ac:dyDescent="0.2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5" t="s">
        <v>83</v>
      </c>
      <c r="AU53" s="6" t="str">
        <f t="shared" si="17"/>
        <v>TBP</v>
      </c>
      <c r="AV53" s="16" t="s">
        <v>83</v>
      </c>
      <c r="AW53" s="6" t="str">
        <f t="shared" si="18"/>
        <v>TBP</v>
      </c>
    </row>
    <row r="54" spans="1:49" x14ac:dyDescent="0.2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5" t="s">
        <v>51</v>
      </c>
      <c r="AU54" s="6" t="str">
        <f t="shared" si="17"/>
        <v>TBP</v>
      </c>
      <c r="AV54" s="16" t="s">
        <v>51</v>
      </c>
      <c r="AW54" s="6" t="str">
        <f t="shared" si="18"/>
        <v>TBP</v>
      </c>
    </row>
    <row r="55" spans="1:49" x14ac:dyDescent="0.2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8" t="s">
        <v>52</v>
      </c>
      <c r="AC55" s="6" t="str">
        <f t="shared" si="8"/>
        <v>TBP</v>
      </c>
      <c r="AD55" s="18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5" t="s">
        <v>56</v>
      </c>
      <c r="AU55" s="6" t="str">
        <f t="shared" si="17"/>
        <v>TBP</v>
      </c>
      <c r="AV55" s="16" t="s">
        <v>56</v>
      </c>
      <c r="AW55" s="6" t="str">
        <f t="shared" si="18"/>
        <v>TBP</v>
      </c>
    </row>
    <row r="56" spans="1:49" x14ac:dyDescent="0.2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5" t="s">
        <v>108</v>
      </c>
      <c r="AU56" s="6" t="str">
        <f t="shared" si="17"/>
        <v>TBP</v>
      </c>
      <c r="AV56" s="16" t="s">
        <v>108</v>
      </c>
      <c r="AW56" s="6" t="str">
        <f t="shared" si="18"/>
        <v>TBP</v>
      </c>
    </row>
    <row r="57" spans="1:49" x14ac:dyDescent="0.2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5" t="s">
        <v>99</v>
      </c>
      <c r="AU57" s="6" t="str">
        <f t="shared" si="17"/>
        <v>TBP</v>
      </c>
      <c r="AV57" s="16" t="s">
        <v>99</v>
      </c>
      <c r="AW57" s="6" t="str">
        <f t="shared" si="18"/>
        <v>TBP</v>
      </c>
    </row>
    <row r="58" spans="1:49" x14ac:dyDescent="0.2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" t="s">
        <v>104</v>
      </c>
      <c r="W58" s="6" t="str">
        <f t="shared" si="5"/>
        <v>TBP</v>
      </c>
      <c r="X58" s="1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5" t="s">
        <v>104</v>
      </c>
      <c r="AU58" s="6" t="str">
        <f t="shared" si="17"/>
        <v>TBP</v>
      </c>
      <c r="AV58" s="16" t="s">
        <v>104</v>
      </c>
      <c r="AW58" s="6" t="str">
        <f t="shared" si="18"/>
        <v>TBP</v>
      </c>
    </row>
    <row r="59" spans="1:49" x14ac:dyDescent="0.2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5" t="s">
        <v>89</v>
      </c>
      <c r="AU59" s="6" t="str">
        <f t="shared" si="17"/>
        <v>TBP</v>
      </c>
      <c r="AV59" s="16" t="s">
        <v>89</v>
      </c>
      <c r="AW59" s="6" t="str">
        <f t="shared" si="18"/>
        <v>TBP</v>
      </c>
    </row>
    <row r="60" spans="1:49" x14ac:dyDescent="0.2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5" t="s">
        <v>71</v>
      </c>
      <c r="AU60" s="6" t="str">
        <f t="shared" si="17"/>
        <v>TBP</v>
      </c>
      <c r="AV60" s="16" t="s">
        <v>71</v>
      </c>
      <c r="AW60" s="6" t="str">
        <f t="shared" si="18"/>
        <v>TBP</v>
      </c>
    </row>
    <row r="61" spans="1:49" x14ac:dyDescent="0.2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5" t="s">
        <v>92</v>
      </c>
      <c r="AU61" s="6" t="str">
        <f t="shared" si="17"/>
        <v>TBP</v>
      </c>
      <c r="AV61" s="16" t="s">
        <v>92</v>
      </c>
      <c r="AW61" s="6" t="str">
        <f t="shared" si="18"/>
        <v>TBP</v>
      </c>
    </row>
    <row r="62" spans="1:49" x14ac:dyDescent="0.2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5" t="s">
        <v>60</v>
      </c>
      <c r="AU62" s="6" t="str">
        <f t="shared" si="17"/>
        <v>TBP</v>
      </c>
      <c r="AV62" s="16" t="s">
        <v>60</v>
      </c>
      <c r="AW62" s="6" t="str">
        <f t="shared" si="18"/>
        <v>TBP</v>
      </c>
    </row>
    <row r="63" spans="1:49" x14ac:dyDescent="0.2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5" t="s">
        <v>120</v>
      </c>
      <c r="AU63" s="6" t="str">
        <f t="shared" si="17"/>
        <v>TBP</v>
      </c>
      <c r="AV63" s="16" t="s">
        <v>120</v>
      </c>
      <c r="AW63" s="6" t="str">
        <f t="shared" si="18"/>
        <v>TBP</v>
      </c>
    </row>
    <row r="64" spans="1:49" x14ac:dyDescent="0.2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5" t="s">
        <v>126</v>
      </c>
      <c r="AU64" s="6" t="str">
        <f t="shared" si="17"/>
        <v>TBP</v>
      </c>
      <c r="AV64" s="16" t="s">
        <v>126</v>
      </c>
      <c r="AW64" s="6" t="str">
        <f t="shared" si="18"/>
        <v>TBP</v>
      </c>
    </row>
    <row r="65" spans="3:49" x14ac:dyDescent="0.2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5" t="s">
        <v>54</v>
      </c>
      <c r="AU65" s="6" t="str">
        <f t="shared" si="17"/>
        <v>TBP</v>
      </c>
      <c r="AV65" s="16" t="s">
        <v>54</v>
      </c>
      <c r="AW65" s="6" t="str">
        <f t="shared" si="18"/>
        <v>TBP</v>
      </c>
    </row>
    <row r="66" spans="3:49" x14ac:dyDescent="0.2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5" t="s">
        <v>123</v>
      </c>
      <c r="AU66" s="6" t="str">
        <f t="shared" si="17"/>
        <v>TBP</v>
      </c>
      <c r="AV66" s="16" t="s">
        <v>130</v>
      </c>
      <c r="AW66" s="6" t="str">
        <f t="shared" si="18"/>
        <v>TBP</v>
      </c>
    </row>
    <row r="67" spans="3:49" x14ac:dyDescent="0.2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5" t="s">
        <v>96</v>
      </c>
      <c r="AU67" s="6" t="str">
        <f t="shared" ref="AU67:AU73" si="36">IF(ISBLANK(K67),"TBP",IF(AT67=K67,"Matched","No Match"))</f>
        <v>TBP</v>
      </c>
      <c r="AV67" s="16" t="s">
        <v>96</v>
      </c>
      <c r="AW67" s="6" t="str">
        <f t="shared" ref="AW67:AW73" si="37">IF(ISBLANK(K67),"TBP",IF(AV67=K67,"Matched","No Match"))</f>
        <v>TBP</v>
      </c>
    </row>
    <row r="68" spans="3:49" x14ac:dyDescent="0.2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5" t="s">
        <v>67</v>
      </c>
      <c r="AU68" s="6" t="str">
        <f t="shared" si="36"/>
        <v>TBP</v>
      </c>
      <c r="AV68" s="16" t="s">
        <v>67</v>
      </c>
      <c r="AW68" s="6" t="str">
        <f t="shared" si="37"/>
        <v>TBP</v>
      </c>
    </row>
    <row r="69" spans="3:49" x14ac:dyDescent="0.2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5" t="s">
        <v>106</v>
      </c>
      <c r="AU69" s="6" t="str">
        <f t="shared" si="36"/>
        <v>TBP</v>
      </c>
      <c r="AV69" s="16" t="s">
        <v>106</v>
      </c>
      <c r="AW69" s="6" t="str">
        <f t="shared" si="37"/>
        <v>TBP</v>
      </c>
    </row>
    <row r="70" spans="3:49" x14ac:dyDescent="0.2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5" t="s">
        <v>74</v>
      </c>
      <c r="AU70" s="6" t="str">
        <f t="shared" si="36"/>
        <v>TBP</v>
      </c>
      <c r="AV70" s="16" t="s">
        <v>74</v>
      </c>
      <c r="AW70" s="6" t="str">
        <f t="shared" si="37"/>
        <v>TBP</v>
      </c>
    </row>
    <row r="71" spans="3:49" x14ac:dyDescent="0.2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" t="s">
        <v>154</v>
      </c>
      <c r="W71" s="6" t="str">
        <f t="shared" si="24"/>
        <v>TBP</v>
      </c>
      <c r="X71" s="1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5" t="s">
        <v>59</v>
      </c>
      <c r="AU71" s="6" t="str">
        <f t="shared" si="36"/>
        <v>TBP</v>
      </c>
      <c r="AV71" s="16" t="s">
        <v>146</v>
      </c>
      <c r="AW71" s="6" t="str">
        <f t="shared" si="37"/>
        <v>TBP</v>
      </c>
    </row>
    <row r="72" spans="3:49" x14ac:dyDescent="0.2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5" t="s">
        <v>142</v>
      </c>
      <c r="AU72" s="6" t="str">
        <f t="shared" si="36"/>
        <v>TBP</v>
      </c>
      <c r="AV72" s="16" t="s">
        <v>142</v>
      </c>
      <c r="AW72" s="6" t="str">
        <f t="shared" si="37"/>
        <v>TBP</v>
      </c>
    </row>
    <row r="73" spans="3:49" x14ac:dyDescent="0.2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5" t="s">
        <v>48</v>
      </c>
      <c r="AU73" s="6" t="str">
        <f t="shared" si="36"/>
        <v>TBP</v>
      </c>
      <c r="AV73" s="16" t="s">
        <v>48</v>
      </c>
      <c r="AW73" s="6" t="str">
        <f t="shared" si="37"/>
        <v>TBP</v>
      </c>
    </row>
    <row r="74" spans="3:49" x14ac:dyDescent="0.2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17</v>
      </c>
      <c r="N74" s="1"/>
      <c r="O74" s="5">
        <f>COUNTIF(O2:O73, "Matched")</f>
        <v>18</v>
      </c>
      <c r="P74" s="1"/>
      <c r="Q74" s="5">
        <f>COUNTIF(Q2:Q73, "Matched")</f>
        <v>22</v>
      </c>
      <c r="R74" s="1"/>
      <c r="S74" s="5">
        <f>COUNTIF(S2:S73, "Matched")</f>
        <v>21</v>
      </c>
      <c r="T74" s="1"/>
      <c r="U74" s="5">
        <f>COUNTIF(U2:U73, "Matched")</f>
        <v>18</v>
      </c>
      <c r="V74" s="1"/>
      <c r="W74" s="5">
        <f>COUNTIF(W2:W73, "Matched")</f>
        <v>22</v>
      </c>
      <c r="X74" s="1"/>
      <c r="Y74" s="5">
        <f>COUNTIF(Y2:Y73, "Matched")</f>
        <v>20</v>
      </c>
      <c r="Z74" s="1"/>
      <c r="AA74" s="5">
        <f>COUNTIF(AA2:AA73, "Matched")</f>
        <v>17</v>
      </c>
      <c r="AB74" s="1"/>
      <c r="AC74" s="5">
        <f>COUNTIF(AC2:AC73, "Matched")</f>
        <v>21</v>
      </c>
      <c r="AD74" s="1"/>
      <c r="AE74" s="5">
        <f>COUNTIF(AE2:AE73, "Matched")</f>
        <v>20</v>
      </c>
      <c r="AF74" s="1"/>
      <c r="AG74" s="5">
        <f>COUNTIF(AG2:AG73, "Matched")</f>
        <v>21</v>
      </c>
      <c r="AH74" s="1"/>
      <c r="AI74" s="5">
        <f>COUNTIF(AI2:AI73, "Matched")</f>
        <v>19</v>
      </c>
      <c r="AJ74" s="1"/>
      <c r="AK74" s="5">
        <f>COUNTIF(AK2:AK73, "Matched")</f>
        <v>17</v>
      </c>
      <c r="AL74" s="1"/>
      <c r="AM74" s="5">
        <f>COUNTIF(AM2:AM73, "Matched")</f>
        <v>22</v>
      </c>
      <c r="AN74" s="1"/>
      <c r="AO74" s="5">
        <f>COUNTIF(AO2:AO73, "Matched")</f>
        <v>21</v>
      </c>
      <c r="AP74" s="1"/>
      <c r="AQ74" s="5">
        <f>COUNTIF(AQ2:AQ73, "Matched")</f>
        <v>18</v>
      </c>
      <c r="AR74" s="1"/>
      <c r="AS74" s="5">
        <f>COUNTIF(AS2:AS73, "Matched")</f>
        <v>23</v>
      </c>
      <c r="AT74" s="1"/>
      <c r="AU74" s="5">
        <f>COUNTIF(AU2:AU73, "Matched")</f>
        <v>22</v>
      </c>
      <c r="AV74" s="1"/>
      <c r="AW74" s="5">
        <f>COUNTIF(AW2:AW73, "Matched")</f>
        <v>21</v>
      </c>
    </row>
    <row r="75" spans="3:49" x14ac:dyDescent="0.2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2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2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2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2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2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2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2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2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2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2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2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2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2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2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2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2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2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2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2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2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2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2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2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2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2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2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2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2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2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2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2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2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2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32 AR34:AR43 AR45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5" x14ac:dyDescent="0.25"/>
  <cols>
    <col min="1" max="1" width="15.85546875" customWidth="1"/>
    <col min="2" max="2" width="12.7109375" customWidth="1"/>
    <col min="4" max="4" width="27.28515625" customWidth="1"/>
    <col min="7" max="7" width="11.28515625" bestFit="1" customWidth="1"/>
  </cols>
  <sheetData>
    <row r="1" spans="1:8" x14ac:dyDescent="0.2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2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2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2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2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2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2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2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2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2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2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2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2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2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2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2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2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2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2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2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25">
      <c r="D21" s="1" t="s">
        <v>142</v>
      </c>
      <c r="E21" s="2">
        <v>23</v>
      </c>
    </row>
    <row r="22" spans="1:8" x14ac:dyDescent="0.25">
      <c r="D22" s="1" t="s">
        <v>109</v>
      </c>
      <c r="E22" s="2">
        <v>24</v>
      </c>
    </row>
    <row r="23" spans="1:8" x14ac:dyDescent="0.25">
      <c r="D23" s="1" t="s">
        <v>56</v>
      </c>
      <c r="E23" s="2">
        <v>25</v>
      </c>
    </row>
    <row r="24" spans="1:8" x14ac:dyDescent="0.25">
      <c r="D24" s="1" t="s">
        <v>92</v>
      </c>
      <c r="E24" s="2">
        <v>27</v>
      </c>
    </row>
    <row r="25" spans="1:8" x14ac:dyDescent="0.25">
      <c r="D25" s="1" t="s">
        <v>139</v>
      </c>
      <c r="E25" s="2">
        <v>28</v>
      </c>
    </row>
    <row r="26" spans="1:8" x14ac:dyDescent="0.25">
      <c r="D26" s="1" t="s">
        <v>123</v>
      </c>
      <c r="E26" s="2">
        <v>29</v>
      </c>
    </row>
    <row r="27" spans="1:8" x14ac:dyDescent="0.25">
      <c r="D27" s="1" t="s">
        <v>64</v>
      </c>
      <c r="E27" s="2">
        <v>30</v>
      </c>
    </row>
    <row r="28" spans="1:8" x14ac:dyDescent="0.25">
      <c r="D28" s="1" t="s">
        <v>136</v>
      </c>
      <c r="E28" s="2">
        <v>31</v>
      </c>
    </row>
    <row r="29" spans="1:8" x14ac:dyDescent="0.25">
      <c r="D29" s="1" t="s">
        <v>108</v>
      </c>
      <c r="E29" s="2">
        <v>33</v>
      </c>
    </row>
    <row r="30" spans="1:8" x14ac:dyDescent="0.25">
      <c r="D30" s="1" t="s">
        <v>152</v>
      </c>
      <c r="E30" s="2">
        <v>34</v>
      </c>
    </row>
    <row r="31" spans="1:8" x14ac:dyDescent="0.25">
      <c r="D31" s="1" t="s">
        <v>113</v>
      </c>
      <c r="E31" s="2">
        <v>38</v>
      </c>
    </row>
    <row r="32" spans="1:8" x14ac:dyDescent="0.25">
      <c r="D32" s="1" t="s">
        <v>57</v>
      </c>
      <c r="E32" s="2">
        <v>39</v>
      </c>
    </row>
    <row r="33" spans="4:5" x14ac:dyDescent="0.25">
      <c r="D33" s="1" t="s">
        <v>72</v>
      </c>
      <c r="E33" s="2">
        <v>40</v>
      </c>
    </row>
    <row r="34" spans="4:5" x14ac:dyDescent="0.25">
      <c r="D34" s="1" t="s">
        <v>87</v>
      </c>
      <c r="E34" s="2">
        <v>43</v>
      </c>
    </row>
    <row r="35" spans="4:5" x14ac:dyDescent="0.25">
      <c r="D35" s="1" t="s">
        <v>146</v>
      </c>
      <c r="E35" s="2">
        <v>45</v>
      </c>
    </row>
    <row r="36" spans="4:5" x14ac:dyDescent="0.25">
      <c r="D36" s="1" t="s">
        <v>114</v>
      </c>
      <c r="E36" s="2">
        <v>46</v>
      </c>
    </row>
    <row r="37" spans="4:5" x14ac:dyDescent="0.25">
      <c r="D37" s="1" t="s">
        <v>154</v>
      </c>
      <c r="E37" s="2">
        <v>50</v>
      </c>
    </row>
    <row r="38" spans="4:5" x14ac:dyDescent="0.25">
      <c r="D38" s="1" t="s">
        <v>76</v>
      </c>
      <c r="E38" s="2">
        <v>55</v>
      </c>
    </row>
    <row r="39" spans="4:5" x14ac:dyDescent="0.25">
      <c r="D39" s="1" t="s">
        <v>135</v>
      </c>
      <c r="E39" s="2">
        <v>56</v>
      </c>
    </row>
    <row r="40" spans="4:5" x14ac:dyDescent="0.25">
      <c r="D40" s="1" t="s">
        <v>126</v>
      </c>
      <c r="E40" s="2">
        <v>60</v>
      </c>
    </row>
    <row r="41" spans="4:5" x14ac:dyDescent="0.25">
      <c r="D41" s="1" t="s">
        <v>52</v>
      </c>
      <c r="E41" s="2">
        <v>60</v>
      </c>
    </row>
    <row r="42" spans="4:5" x14ac:dyDescent="0.25">
      <c r="D42" s="1" t="s">
        <v>143</v>
      </c>
      <c r="E42" s="2">
        <v>63</v>
      </c>
    </row>
    <row r="43" spans="4:5" x14ac:dyDescent="0.25">
      <c r="D43" s="1" t="s">
        <v>325</v>
      </c>
      <c r="E43" s="2">
        <v>64</v>
      </c>
    </row>
    <row r="44" spans="4:5" x14ac:dyDescent="0.25">
      <c r="D44" s="1" t="s">
        <v>118</v>
      </c>
      <c r="E44" s="2">
        <v>68</v>
      </c>
    </row>
    <row r="45" spans="4:5" x14ac:dyDescent="0.25">
      <c r="D45" s="1" t="s">
        <v>151</v>
      </c>
      <c r="E45" s="2">
        <v>73</v>
      </c>
    </row>
    <row r="46" spans="4:5" x14ac:dyDescent="0.25">
      <c r="D46" s="1" t="s">
        <v>86</v>
      </c>
      <c r="E46" s="2">
        <v>81</v>
      </c>
    </row>
    <row r="47" spans="4:5" x14ac:dyDescent="0.25">
      <c r="D47" s="1" t="s">
        <v>100</v>
      </c>
      <c r="E47" s="2">
        <v>83</v>
      </c>
    </row>
    <row r="48" spans="4:5" x14ac:dyDescent="0.2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purl.org/dc/terms/"/>
    <ds:schemaRef ds:uri="http://schemas.microsoft.com/office/2006/metadata/properties"/>
    <ds:schemaRef ds:uri="http://www.w3.org/XML/1998/namespace"/>
    <ds:schemaRef ds:uri="http://purl.org/dc/elements/1.1/"/>
    <ds:schemaRef ds:uri="http://schemas.microsoft.com/sharepoint/v3/fields"/>
    <ds:schemaRef ds:uri="http://schemas.openxmlformats.org/package/2006/metadata/core-properties"/>
    <ds:schemaRef ds:uri="dc74d1ae-670c-41ed-9896-4cba0109067e"/>
    <ds:schemaRef ds:uri="37513636-cd07-4f62-aa39-05d899fa6391"/>
    <ds:schemaRef ds:uri="721dfc99-fedf-49dc-96e4-8b6946f0e489"/>
    <ds:schemaRef ds:uri="http://schemas.microsoft.com/office/2006/documentManagement/types"/>
    <ds:schemaRef ds:uri="http://schemas.microsoft.com/office/infopath/2007/PartnerControls"/>
    <ds:schemaRef ds:uri="http://schemas.microsoft.com/sharepoint/v3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Stephen Jessop</cp:lastModifiedBy>
  <cp:revision/>
  <dcterms:created xsi:type="dcterms:W3CDTF">2026-05-25T21:45:08Z</dcterms:created>
  <dcterms:modified xsi:type="dcterms:W3CDTF">2026-06-21T06:16:25Z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