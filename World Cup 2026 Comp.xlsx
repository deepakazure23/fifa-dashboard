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894" documentId="8_{C42A4063-8679-421F-B2A4-8DD3F65A1D1D}" xr6:coauthVersionLast="47" xr6:coauthVersionMax="47" xr10:uidLastSave="{AFE813E2-E653-4151-9D80-D6E07E693E88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<sst xmlns="http://schemas.openxmlformats.org/spreadsheetml/2006/main" count="2096" uniqueCount="326">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</sst>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14" activePane="bottomRight" state="frozen"/>
      <selection pane="topRight" activeCell="L1" sqref="L1"/>
      <selection pane="bottomLeft" activeCell="A2" sqref="A2"/>
      <selection pane="bottomRight" activeCell="K26" sqref="K26"/>
    </sheetView>
  </sheetViews>
  <sheetFormatPr defaultColWidth="6.54296875" defaultRowHeight="14.5" x14ac:dyDescent="0.35"/>
  <cols>
    <col min="1" max="1" width="21.54296875" style="6" bestFit="1" customWidth="1"/>
    <col min="2" max="2" width="3.1796875" style="6" bestFit="1" customWidth="1"/>
    <col min="3" max="3" width="11.7265625" style="6" bestFit="1" customWidth="1"/>
    <col min="4" max="4" width="30.7265625" style="6" bestFit="1" customWidth="1"/>
    <col min="5" max="5" width="23.453125" style="10" bestFit="1" customWidth="1"/>
    <col min="6" max="6" width="6.7265625" style="6" bestFit="1" customWidth="1"/>
    <col min="7" max="8" width="12.2695312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9" style="6" bestFit="1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9" style="6" bestFit="1" customWidth="1"/>
    <col min="18" max="18" width="12.453125" style="6" bestFit="1" customWidth="1"/>
    <col min="19" max="19" width="9" style="6" bestFit="1" customWidth="1"/>
    <col min="20" max="20" width="11.453125" style="6" bestFit="1" customWidth="1"/>
    <col min="21" max="21" width="9.453125" style="6" bestFit="1" customWidth="1"/>
    <col min="22" max="22" width="22.54296875" style="6" bestFit="1" customWidth="1"/>
    <col min="23" max="23" width="9.453125" style="6" bestFit="1" customWidth="1"/>
    <col min="24" max="24" width="12.26953125" style="6" bestFit="1" customWidth="1"/>
    <col min="25" max="25" width="9.453125" style="6" bestFit="1" customWidth="1"/>
    <col min="26" max="26" width="22.54296875" style="6" bestFit="1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9.453125" style="6" bestFit="1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6" t="s">
        <v>51</v>
      </c>
      <c r="AU2" s="6" t="str">
        <f>AS2</f>
        <v>Matched</v>
      </c>
      <c r="AV2" s="17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8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5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6" t="s">
        <v>56</v>
      </c>
      <c r="AU3" s="6" t="str">
        <f t="shared" ref="AU3:AU66" si="17">IF(ISBLANK(K3),"TBP",IF(AT3=K3,"Matched","No Match"))</f>
        <v>Matched</v>
      </c>
      <c r="AV3" s="17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6" t="s">
        <v>64</v>
      </c>
      <c r="AU4" s="6" t="str">
        <f t="shared" si="17"/>
        <v>No Match</v>
      </c>
      <c r="AV4" s="17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5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5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6" t="s">
        <v>71</v>
      </c>
      <c r="AU5" s="6" t="str">
        <f t="shared" si="17"/>
        <v>Matched</v>
      </c>
      <c r="AV5" s="17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5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5" t="s">
        <v>77</v>
      </c>
      <c r="AC6" s="6" t="str">
        <f t="shared" si="8"/>
        <v>No Match</v>
      </c>
      <c r="AD6" s="19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6" t="s">
        <v>77</v>
      </c>
      <c r="AU6" s="6" t="str">
        <f t="shared" si="17"/>
        <v>No Match</v>
      </c>
      <c r="AV6" s="17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6" t="s">
        <v>79</v>
      </c>
      <c r="AU7" s="6" t="str">
        <f t="shared" si="17"/>
        <v>No Match</v>
      </c>
      <c r="AV7" s="17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6" t="s">
        <v>87</v>
      </c>
      <c r="AU8" s="6" t="str">
        <f t="shared" si="17"/>
        <v>Matched</v>
      </c>
      <c r="AV8" s="17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20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5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6" t="s">
        <v>93</v>
      </c>
      <c r="AU9" s="6" t="str">
        <f t="shared" si="17"/>
        <v>No Match</v>
      </c>
      <c r="AV9" s="17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6" t="s">
        <v>99</v>
      </c>
      <c r="AU10" s="6" t="str">
        <f t="shared" si="17"/>
        <v>Matched</v>
      </c>
      <c r="AV10" s="17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8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6" t="s">
        <v>89</v>
      </c>
      <c r="AU11" s="6" t="str">
        <f t="shared" si="17"/>
        <v>No Match</v>
      </c>
      <c r="AV11" s="17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5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6" t="s">
        <v>109</v>
      </c>
      <c r="AU12" s="6" t="str">
        <f t="shared" si="17"/>
        <v>No Match</v>
      </c>
      <c r="AV12" s="17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5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6" t="s">
        <v>113</v>
      </c>
      <c r="AU13" s="6" t="str">
        <f t="shared" si="17"/>
        <v>Matched</v>
      </c>
      <c r="AV13" s="17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5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6" t="s">
        <v>54</v>
      </c>
      <c r="AU14" s="6" t="str">
        <f t="shared" si="17"/>
        <v>No Match</v>
      </c>
      <c r="AV14" s="17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5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5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6" t="s">
        <v>96</v>
      </c>
      <c r="AU15" s="6" t="str">
        <f t="shared" si="17"/>
        <v>No Match</v>
      </c>
      <c r="AV15" s="17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5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5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5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6" t="s">
        <v>127</v>
      </c>
      <c r="AU16" s="6" t="str">
        <f t="shared" si="17"/>
        <v>No Match</v>
      </c>
      <c r="AV16" s="17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5" t="s">
        <v>131</v>
      </c>
      <c r="W17" s="6" t="str">
        <f t="shared" si="5"/>
        <v>No Match</v>
      </c>
      <c r="X17" s="15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6" t="s">
        <v>130</v>
      </c>
      <c r="AU17" s="6" t="str">
        <f t="shared" si="17"/>
        <v>No Match</v>
      </c>
      <c r="AV17" s="17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6" t="s">
        <v>60</v>
      </c>
      <c r="AU18" s="6" t="str">
        <f t="shared" si="17"/>
        <v>Matched</v>
      </c>
      <c r="AV18" s="17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6" t="s">
        <v>136</v>
      </c>
      <c r="AU19" s="6" t="str">
        <f t="shared" si="17"/>
        <v>Matched</v>
      </c>
      <c r="AV19" s="17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6" t="s">
        <v>48</v>
      </c>
      <c r="AU20" s="6" t="str">
        <f t="shared" si="17"/>
        <v>Matched</v>
      </c>
      <c r="AV20" s="17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6" t="s">
        <v>142</v>
      </c>
      <c r="AU21" s="6" t="str">
        <f t="shared" si="17"/>
        <v>Matched</v>
      </c>
      <c r="AV21" s="17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6" t="s">
        <v>74</v>
      </c>
      <c r="AU22" s="6" t="str">
        <f t="shared" si="17"/>
        <v>No Match</v>
      </c>
      <c r="AV22" s="17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6" t="s">
        <v>67</v>
      </c>
      <c r="AU23" s="6" t="str">
        <f t="shared" si="17"/>
        <v>Matched</v>
      </c>
      <c r="AV23" s="17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6" t="s">
        <v>151</v>
      </c>
      <c r="AU24" s="6" t="str">
        <f t="shared" si="17"/>
        <v>Matched</v>
      </c>
      <c r="AV24" s="17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6" t="s">
        <v>111</v>
      </c>
      <c r="AU25" s="6" t="str">
        <f t="shared" si="17"/>
        <v>Matched</v>
      </c>
      <c r="AV25" s="17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/>
      <c r="L26" s="6" t="s">
        <v>57</v>
      </c>
      <c r="M26" s="1" t="str">
        <f t="shared" si="0"/>
        <v>TBP</v>
      </c>
      <c r="N26" s="1" t="s">
        <v>52</v>
      </c>
      <c r="O26" s="1" t="str">
        <f t="shared" si="1"/>
        <v>TBP</v>
      </c>
      <c r="P26" s="6" t="s">
        <v>52</v>
      </c>
      <c r="Q26" s="1" t="str">
        <f t="shared" si="2"/>
        <v>TBP</v>
      </c>
      <c r="R26" s="1" t="s">
        <v>57</v>
      </c>
      <c r="S26" s="1" t="str">
        <f t="shared" si="3"/>
        <v>TBP</v>
      </c>
      <c r="T26" s="1" t="s">
        <v>57</v>
      </c>
      <c r="U26" s="6" t="str">
        <f t="shared" si="4"/>
        <v>TBP</v>
      </c>
      <c r="V26" s="6" t="s">
        <v>57</v>
      </c>
      <c r="W26" s="6" t="str">
        <f t="shared" si="5"/>
        <v>TBP</v>
      </c>
      <c r="X26" s="15" t="s">
        <v>57</v>
      </c>
      <c r="Y26" s="6" t="str">
        <f t="shared" si="6"/>
        <v>TBP</v>
      </c>
      <c r="Z26" s="6" t="s">
        <v>52</v>
      </c>
      <c r="AA26" s="6" t="str">
        <f t="shared" si="7"/>
        <v>TBP</v>
      </c>
      <c r="AB26" s="19" t="s">
        <v>57</v>
      </c>
      <c r="AC26" s="6" t="str">
        <f t="shared" si="8"/>
        <v>TBP</v>
      </c>
      <c r="AD26" s="19" t="s">
        <v>57</v>
      </c>
      <c r="AE26" s="6" t="str">
        <f t="shared" si="9"/>
        <v>TBP</v>
      </c>
      <c r="AF26" s="6" t="s">
        <v>57</v>
      </c>
      <c r="AG26" s="6" t="str">
        <f t="shared" si="10"/>
        <v>TBP</v>
      </c>
      <c r="AH26" s="6" t="s">
        <v>57</v>
      </c>
      <c r="AI26" s="6" t="str">
        <f t="shared" si="11"/>
        <v>TBP</v>
      </c>
      <c r="AJ26" s="6" t="s">
        <v>59</v>
      </c>
      <c r="AK26" s="6" t="str">
        <f t="shared" si="12"/>
        <v>TBP</v>
      </c>
      <c r="AL26" s="14" t="s">
        <v>57</v>
      </c>
      <c r="AM26" s="6" t="str">
        <f t="shared" si="13"/>
        <v>TBP</v>
      </c>
      <c r="AN26" s="6" t="s">
        <v>57</v>
      </c>
      <c r="AO26" s="6" t="str">
        <f t="shared" si="14"/>
        <v>TBP</v>
      </c>
      <c r="AP26" s="6" t="s">
        <v>57</v>
      </c>
      <c r="AQ26" s="6" t="str">
        <f t="shared" si="15"/>
        <v>TBP</v>
      </c>
      <c r="AR26" s="6" t="s">
        <v>57</v>
      </c>
      <c r="AS26" s="6" t="str">
        <f t="shared" si="16"/>
        <v>No Match</v>
      </c>
      <c r="AT26" s="16" t="s">
        <v>57</v>
      </c>
      <c r="AU26" s="6" t="str">
        <f t="shared" si="17"/>
        <v>TBP</v>
      </c>
      <c r="AV26" s="17" t="s">
        <v>57</v>
      </c>
      <c r="AW26" s="6" t="str">
        <f t="shared" si="18"/>
        <v>TBP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/>
      <c r="L27" s="6" t="s">
        <v>77</v>
      </c>
      <c r="M27" s="1" t="str">
        <f t="shared" si="0"/>
        <v>TBP</v>
      </c>
      <c r="N27" s="1" t="s">
        <v>59</v>
      </c>
      <c r="O27" s="1" t="str">
        <f t="shared" si="1"/>
        <v>TBP</v>
      </c>
      <c r="P27" s="6" t="s">
        <v>77</v>
      </c>
      <c r="Q27" s="1" t="str">
        <f t="shared" si="2"/>
        <v>TBP</v>
      </c>
      <c r="R27" s="1" t="s">
        <v>77</v>
      </c>
      <c r="S27" s="1" t="str">
        <f t="shared" si="3"/>
        <v>TBP</v>
      </c>
      <c r="T27" s="1" t="s">
        <v>65</v>
      </c>
      <c r="U27" s="6" t="str">
        <f t="shared" si="4"/>
        <v>TBP</v>
      </c>
      <c r="V27" s="6" t="s">
        <v>77</v>
      </c>
      <c r="W27" s="6" t="str">
        <f t="shared" si="5"/>
        <v>TBP</v>
      </c>
      <c r="X27" s="15" t="s">
        <v>77</v>
      </c>
      <c r="Y27" s="6" t="str">
        <f t="shared" si="6"/>
        <v>TBP</v>
      </c>
      <c r="Z27" s="1" t="s">
        <v>65</v>
      </c>
      <c r="AA27" s="6" t="str">
        <f t="shared" si="7"/>
        <v>TBP</v>
      </c>
      <c r="AB27" s="6" t="s">
        <v>77</v>
      </c>
      <c r="AC27" s="6" t="str">
        <f t="shared" si="8"/>
        <v>TBP</v>
      </c>
      <c r="AD27" s="6" t="s">
        <v>77</v>
      </c>
      <c r="AE27" s="6" t="str">
        <f t="shared" si="9"/>
        <v>TBP</v>
      </c>
      <c r="AF27" s="1" t="s">
        <v>77</v>
      </c>
      <c r="AG27" s="6" t="str">
        <f t="shared" si="10"/>
        <v>TBP</v>
      </c>
      <c r="AH27" s="6" t="s">
        <v>77</v>
      </c>
      <c r="AI27" s="6" t="str">
        <f t="shared" si="11"/>
        <v>TBP</v>
      </c>
      <c r="AJ27" s="15" t="s">
        <v>77</v>
      </c>
      <c r="AK27" s="6" t="str">
        <f t="shared" si="12"/>
        <v>TBP</v>
      </c>
      <c r="AL27" s="14" t="s">
        <v>77</v>
      </c>
      <c r="AM27" s="6" t="str">
        <f t="shared" si="13"/>
        <v>TBP</v>
      </c>
      <c r="AN27" s="6" t="s">
        <v>77</v>
      </c>
      <c r="AO27" s="6" t="str">
        <f t="shared" si="14"/>
        <v>TBP</v>
      </c>
      <c r="AP27" s="6" t="s">
        <v>77</v>
      </c>
      <c r="AQ27" s="6" t="str">
        <f t="shared" si="15"/>
        <v>TBP</v>
      </c>
      <c r="AR27" s="6" t="s">
        <v>77</v>
      </c>
      <c r="AS27" s="6" t="str">
        <f t="shared" si="16"/>
        <v>No Match</v>
      </c>
      <c r="AT27" s="16" t="s">
        <v>77</v>
      </c>
      <c r="AU27" s="6" t="str">
        <f t="shared" si="17"/>
        <v>TBP</v>
      </c>
      <c r="AV27" s="17" t="s">
        <v>77</v>
      </c>
      <c r="AW27" s="6" t="str">
        <f t="shared" si="18"/>
        <v>TBP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5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5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76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4" t="s">
        <v>64</v>
      </c>
      <c r="AK28" s="6" t="str">
        <f t="shared" si="12"/>
        <v>TBP</v>
      </c>
      <c r="AL28" s="14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6" t="str">
        <f t="shared" si="16"/>
        <v>No Match</v>
      </c>
      <c r="AT28" s="16" t="s">
        <v>64</v>
      </c>
      <c r="AU28" s="6" t="str">
        <f t="shared" si="17"/>
        <v>TBP</v>
      </c>
      <c r="AV28" s="17" t="s">
        <v>64</v>
      </c>
      <c r="AW28" s="6" t="str">
        <f t="shared" si="18"/>
        <v>TBP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5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4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6" t="str">
        <f t="shared" si="16"/>
        <v>No Match</v>
      </c>
      <c r="AT29" s="16" t="s">
        <v>51</v>
      </c>
      <c r="AU29" s="6" t="str">
        <f t="shared" si="17"/>
        <v>TBP</v>
      </c>
      <c r="AV29" s="17" t="s">
        <v>51</v>
      </c>
      <c r="AW29" s="6" t="str">
        <f t="shared" si="18"/>
        <v>TBP</v>
      </c>
    </row>
    <row r="30" spans="1:49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5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92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6" t="s">
        <v>71</v>
      </c>
      <c r="AU30" s="6" t="str">
        <f t="shared" si="17"/>
        <v>TBP</v>
      </c>
      <c r="AV30" s="17" t="s">
        <v>71</v>
      </c>
      <c r="AW30" s="6" t="str">
        <f t="shared" si="18"/>
        <v>TBP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6" t="s">
        <v>83</v>
      </c>
      <c r="AU31" s="6" t="str">
        <f t="shared" si="17"/>
        <v>TBP</v>
      </c>
      <c r="AV31" s="17" t="s">
        <v>83</v>
      </c>
      <c r="AW31" s="6" t="str">
        <f t="shared" si="18"/>
        <v>TBP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5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6" t="s">
        <v>79</v>
      </c>
      <c r="AU32" s="6" t="str">
        <f t="shared" si="17"/>
        <v>TBP</v>
      </c>
      <c r="AV32" s="17" t="s">
        <v>79</v>
      </c>
      <c r="AW32" s="6" t="str">
        <f t="shared" si="18"/>
        <v>TBP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1" t="s">
        <v>93</v>
      </c>
      <c r="O33" s="1" t="str">
        <f t="shared" si="1"/>
        <v>TBP</v>
      </c>
      <c r="P33" s="20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5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9" t="s">
        <v>93</v>
      </c>
      <c r="AC33" s="6" t="str">
        <f t="shared" si="8"/>
        <v>TBP</v>
      </c>
      <c r="AD33" s="19" t="s">
        <v>93</v>
      </c>
      <c r="AE33" s="6" t="str">
        <f t="shared" si="9"/>
        <v>TBP</v>
      </c>
      <c r="AF33" s="19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5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6" t="s">
        <v>93</v>
      </c>
      <c r="AU33" s="6" t="str">
        <f t="shared" si="17"/>
        <v>TBP</v>
      </c>
      <c r="AV33" s="17" t="s">
        <v>93</v>
      </c>
      <c r="AW33" s="6" t="str">
        <f t="shared" si="18"/>
        <v>TBP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5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5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6" t="s">
        <v>89</v>
      </c>
      <c r="AU34" s="6" t="str">
        <f t="shared" si="17"/>
        <v>TBP</v>
      </c>
      <c r="AV34" s="17" t="s">
        <v>89</v>
      </c>
      <c r="AW34" s="6" t="str">
        <f t="shared" si="18"/>
        <v>TBP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5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5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6" t="s">
        <v>99</v>
      </c>
      <c r="AU35" s="6" t="str">
        <f t="shared" si="17"/>
        <v>TBP</v>
      </c>
      <c r="AV35" s="17" t="s">
        <v>99</v>
      </c>
      <c r="AW35" s="6" t="str">
        <f t="shared" si="18"/>
        <v>TBP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5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9" t="s">
        <v>109</v>
      </c>
      <c r="AC36" s="6" t="str">
        <f t="shared" si="8"/>
        <v>TBP</v>
      </c>
      <c r="AD36" s="19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5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6" t="s">
        <v>109</v>
      </c>
      <c r="AU36" s="6" t="str">
        <f t="shared" si="17"/>
        <v>TBP</v>
      </c>
      <c r="AV36" s="17" t="s">
        <v>109</v>
      </c>
      <c r="AW36" s="6" t="str">
        <f t="shared" si="18"/>
        <v>TBP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5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6" t="s">
        <v>104</v>
      </c>
      <c r="AU37" s="6" t="str">
        <f t="shared" si="17"/>
        <v>TBP</v>
      </c>
      <c r="AV37" s="17" t="s">
        <v>104</v>
      </c>
      <c r="AW37" s="6" t="str">
        <f t="shared" si="18"/>
        <v>TBP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5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5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6" t="s">
        <v>54</v>
      </c>
      <c r="AU38" s="6" t="str">
        <f t="shared" si="17"/>
        <v>TBP</v>
      </c>
      <c r="AV38" s="17" t="s">
        <v>54</v>
      </c>
      <c r="AW38" s="6" t="str">
        <f t="shared" si="18"/>
        <v>TBP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5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6" t="s">
        <v>96</v>
      </c>
      <c r="AU39" s="6" t="str">
        <f t="shared" si="17"/>
        <v>TBP</v>
      </c>
      <c r="AV39" s="17" t="s">
        <v>96</v>
      </c>
      <c r="AW39" s="6" t="str">
        <f t="shared" si="18"/>
        <v>TBP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5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6" t="s">
        <v>127</v>
      </c>
      <c r="AU40" s="6" t="str">
        <f t="shared" si="17"/>
        <v>TBP</v>
      </c>
      <c r="AV40" s="17" t="s">
        <v>127</v>
      </c>
      <c r="AW40" s="6" t="str">
        <f t="shared" si="18"/>
        <v>TBP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1" t="s">
        <v>123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5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5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6" t="s">
        <v>123</v>
      </c>
      <c r="AU41" s="6" t="str">
        <f t="shared" si="17"/>
        <v>TBP</v>
      </c>
      <c r="AV41" s="17" t="s">
        <v>131</v>
      </c>
      <c r="AW41" s="6" t="str">
        <f t="shared" si="18"/>
        <v>TBP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5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6" t="s">
        <v>48</v>
      </c>
      <c r="AU42" s="6" t="str">
        <f t="shared" si="17"/>
        <v>TBP</v>
      </c>
      <c r="AV42" s="17" t="s">
        <v>48</v>
      </c>
      <c r="AW42" s="6" t="str">
        <f t="shared" si="18"/>
        <v>TBP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5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5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6" t="s">
        <v>60</v>
      </c>
      <c r="AU43" s="6" t="str">
        <f t="shared" si="17"/>
        <v>TBP</v>
      </c>
      <c r="AV43" s="17" t="s">
        <v>60</v>
      </c>
      <c r="AW43" s="6" t="str">
        <f t="shared" si="18"/>
        <v>TBP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5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6" t="s">
        <v>120</v>
      </c>
      <c r="AU44" s="6" t="str">
        <f t="shared" si="17"/>
        <v>TBP</v>
      </c>
      <c r="AV44" s="17" t="s">
        <v>120</v>
      </c>
      <c r="AW44" s="6" t="str">
        <f t="shared" si="18"/>
        <v>TBP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5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6" t="s">
        <v>139</v>
      </c>
      <c r="AU45" s="6" t="str">
        <f t="shared" si="17"/>
        <v>TBP</v>
      </c>
      <c r="AV45" s="17" t="s">
        <v>139</v>
      </c>
      <c r="AW45" s="6" t="str">
        <f t="shared" si="18"/>
        <v>TBP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5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6" t="s">
        <v>74</v>
      </c>
      <c r="AU46" s="6" t="str">
        <f t="shared" si="17"/>
        <v>TBP</v>
      </c>
      <c r="AV46" s="17" t="s">
        <v>74</v>
      </c>
      <c r="AW46" s="6" t="str">
        <f t="shared" si="18"/>
        <v>TBP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5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6" t="s">
        <v>67</v>
      </c>
      <c r="AU47" s="6" t="str">
        <f t="shared" si="17"/>
        <v>TBP</v>
      </c>
      <c r="AV47" s="17" t="s">
        <v>67</v>
      </c>
      <c r="AW47" s="6" t="str">
        <f t="shared" si="18"/>
        <v>TBP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6" t="s">
        <v>106</v>
      </c>
      <c r="AU48" s="6" t="str">
        <f t="shared" si="17"/>
        <v>TBP</v>
      </c>
      <c r="AV48" s="17" t="s">
        <v>106</v>
      </c>
      <c r="AW48" s="6" t="str">
        <f t="shared" si="18"/>
        <v>TBP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5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6" t="s">
        <v>111</v>
      </c>
      <c r="AU49" s="6" t="str">
        <f t="shared" si="17"/>
        <v>TBP</v>
      </c>
      <c r="AV49" s="17" t="s">
        <v>111</v>
      </c>
      <c r="AW49" s="6" t="str">
        <f t="shared" si="18"/>
        <v>TBP</v>
      </c>
    </row>
    <row r="50" spans="1:49" x14ac:dyDescent="0.3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5" t="s">
        <v>64</v>
      </c>
      <c r="W50" s="6" t="str">
        <f t="shared" si="5"/>
        <v>TBP</v>
      </c>
      <c r="X50" s="15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6" t="s">
        <v>77</v>
      </c>
      <c r="AU50" s="6" t="str">
        <f t="shared" si="17"/>
        <v>TBP</v>
      </c>
      <c r="AV50" s="17" t="s">
        <v>77</v>
      </c>
      <c r="AW50" s="6" t="str">
        <f t="shared" si="18"/>
        <v>TBP</v>
      </c>
    </row>
    <row r="51" spans="1:49" ht="29" x14ac:dyDescent="0.3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5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6" t="s">
        <v>65</v>
      </c>
      <c r="AU51" s="6" t="str">
        <f t="shared" si="17"/>
        <v>TBP</v>
      </c>
      <c r="AV51" s="17" t="s">
        <v>76</v>
      </c>
      <c r="AW51" s="6" t="str">
        <f t="shared" si="18"/>
        <v>TBP</v>
      </c>
    </row>
    <row r="52" spans="1:49" x14ac:dyDescent="0.3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5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6" t="s">
        <v>79</v>
      </c>
      <c r="AU52" s="6" t="str">
        <f t="shared" si="17"/>
        <v>TBP</v>
      </c>
      <c r="AV52" s="17" t="s">
        <v>79</v>
      </c>
      <c r="AW52" s="6" t="str">
        <f t="shared" si="18"/>
        <v>TBP</v>
      </c>
    </row>
    <row r="53" spans="1:49" x14ac:dyDescent="0.3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6" t="s">
        <v>83</v>
      </c>
      <c r="AU53" s="6" t="str">
        <f t="shared" si="17"/>
        <v>TBP</v>
      </c>
      <c r="AV53" s="17" t="s">
        <v>83</v>
      </c>
      <c r="AW53" s="6" t="str">
        <f t="shared" si="18"/>
        <v>TBP</v>
      </c>
    </row>
    <row r="54" spans="1:49" x14ac:dyDescent="0.3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6" t="s">
        <v>51</v>
      </c>
      <c r="AU54" s="6" t="str">
        <f t="shared" si="17"/>
        <v>TBP</v>
      </c>
      <c r="AV54" s="17" t="s">
        <v>51</v>
      </c>
      <c r="AW54" s="6" t="str">
        <f t="shared" si="18"/>
        <v>TBP</v>
      </c>
    </row>
    <row r="55" spans="1:49" x14ac:dyDescent="0.3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5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9" t="s">
        <v>52</v>
      </c>
      <c r="AC55" s="6" t="str">
        <f t="shared" si="8"/>
        <v>TBP</v>
      </c>
      <c r="AD55" s="19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6" t="s">
        <v>56</v>
      </c>
      <c r="AU55" s="6" t="str">
        <f t="shared" si="17"/>
        <v>TBP</v>
      </c>
      <c r="AV55" s="17" t="s">
        <v>56</v>
      </c>
      <c r="AW55" s="6" t="str">
        <f t="shared" si="18"/>
        <v>TBP</v>
      </c>
    </row>
    <row r="56" spans="1:49" x14ac:dyDescent="0.3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5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6" t="s">
        <v>108</v>
      </c>
      <c r="AU56" s="6" t="str">
        <f t="shared" si="17"/>
        <v>TBP</v>
      </c>
      <c r="AV56" s="17" t="s">
        <v>108</v>
      </c>
      <c r="AW56" s="6" t="str">
        <f t="shared" si="18"/>
        <v>TBP</v>
      </c>
    </row>
    <row r="57" spans="1:49" x14ac:dyDescent="0.3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5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6" t="s">
        <v>99</v>
      </c>
      <c r="AU57" s="6" t="str">
        <f t="shared" si="17"/>
        <v>TBP</v>
      </c>
      <c r="AV57" s="17" t="s">
        <v>99</v>
      </c>
      <c r="AW57" s="6" t="str">
        <f t="shared" si="18"/>
        <v>TBP</v>
      </c>
    </row>
    <row r="58" spans="1:49" x14ac:dyDescent="0.3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5" t="s">
        <v>104</v>
      </c>
      <c r="W58" s="6" t="str">
        <f t="shared" si="5"/>
        <v>TBP</v>
      </c>
      <c r="X58" s="15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6" t="s">
        <v>104</v>
      </c>
      <c r="AU58" s="6" t="str">
        <f t="shared" si="17"/>
        <v>TBP</v>
      </c>
      <c r="AV58" s="17" t="s">
        <v>104</v>
      </c>
      <c r="AW58" s="6" t="str">
        <f t="shared" si="18"/>
        <v>TBP</v>
      </c>
    </row>
    <row r="59" spans="1:49" x14ac:dyDescent="0.3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5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6" t="s">
        <v>89</v>
      </c>
      <c r="AU59" s="6" t="str">
        <f t="shared" si="17"/>
        <v>TBP</v>
      </c>
      <c r="AV59" s="17" t="s">
        <v>89</v>
      </c>
      <c r="AW59" s="6" t="str">
        <f t="shared" si="18"/>
        <v>TBP</v>
      </c>
    </row>
    <row r="60" spans="1:49" x14ac:dyDescent="0.3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5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5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6" t="s">
        <v>71</v>
      </c>
      <c r="AU60" s="6" t="str">
        <f t="shared" si="17"/>
        <v>TBP</v>
      </c>
      <c r="AV60" s="17" t="s">
        <v>71</v>
      </c>
      <c r="AW60" s="6" t="str">
        <f t="shared" si="18"/>
        <v>TBP</v>
      </c>
    </row>
    <row r="61" spans="1:49" x14ac:dyDescent="0.3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6" t="s">
        <v>92</v>
      </c>
      <c r="AU61" s="6" t="str">
        <f t="shared" si="17"/>
        <v>TBP</v>
      </c>
      <c r="AV61" s="17" t="s">
        <v>92</v>
      </c>
      <c r="AW61" s="6" t="str">
        <f t="shared" si="18"/>
        <v>TBP</v>
      </c>
    </row>
    <row r="62" spans="1:49" x14ac:dyDescent="0.3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6" t="s">
        <v>60</v>
      </c>
      <c r="AU62" s="6" t="str">
        <f t="shared" si="17"/>
        <v>TBP</v>
      </c>
      <c r="AV62" s="17" t="s">
        <v>60</v>
      </c>
      <c r="AW62" s="6" t="str">
        <f t="shared" si="18"/>
        <v>TBP</v>
      </c>
    </row>
    <row r="63" spans="1:49" x14ac:dyDescent="0.3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6" t="s">
        <v>120</v>
      </c>
      <c r="AU63" s="6" t="str">
        <f t="shared" si="17"/>
        <v>TBP</v>
      </c>
      <c r="AV63" s="17" t="s">
        <v>120</v>
      </c>
      <c r="AW63" s="6" t="str">
        <f t="shared" si="18"/>
        <v>TBP</v>
      </c>
    </row>
    <row r="64" spans="1:49" x14ac:dyDescent="0.3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6" t="s">
        <v>126</v>
      </c>
      <c r="AU64" s="6" t="str">
        <f t="shared" si="17"/>
        <v>TBP</v>
      </c>
      <c r="AV64" s="17" t="s">
        <v>126</v>
      </c>
      <c r="AW64" s="6" t="str">
        <f t="shared" si="18"/>
        <v>TBP</v>
      </c>
    </row>
    <row r="65" spans="3:49" x14ac:dyDescent="0.3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6" t="s">
        <v>54</v>
      </c>
      <c r="AU65" s="6" t="str">
        <f t="shared" si="17"/>
        <v>TBP</v>
      </c>
      <c r="AV65" s="17" t="s">
        <v>54</v>
      </c>
      <c r="AW65" s="6" t="str">
        <f t="shared" si="18"/>
        <v>TBP</v>
      </c>
    </row>
    <row r="66" spans="3:49" x14ac:dyDescent="0.3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5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6" t="s">
        <v>123</v>
      </c>
      <c r="AU66" s="6" t="str">
        <f t="shared" si="17"/>
        <v>TBP</v>
      </c>
      <c r="AV66" s="17" t="s">
        <v>130</v>
      </c>
      <c r="AW66" s="6" t="str">
        <f t="shared" si="18"/>
        <v>TBP</v>
      </c>
    </row>
    <row r="67" spans="3:49" x14ac:dyDescent="0.3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5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6" t="s">
        <v>96</v>
      </c>
      <c r="AU67" s="6" t="str">
        <f t="shared" ref="AU67:AU73" si="36">IF(ISBLANK(K67),"TBP",IF(AT67=K67,"Matched","No Match"))</f>
        <v>TBP</v>
      </c>
      <c r="AV67" s="17" t="s">
        <v>96</v>
      </c>
      <c r="AW67" s="6" t="str">
        <f t="shared" ref="AW67:AW73" si="37">IF(ISBLANK(K67),"TBP",IF(AV67=K67,"Matched","No Match"))</f>
        <v>TBP</v>
      </c>
    </row>
    <row r="68" spans="3:49" x14ac:dyDescent="0.3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5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6" t="s">
        <v>67</v>
      </c>
      <c r="AU68" s="6" t="str">
        <f t="shared" si="36"/>
        <v>TBP</v>
      </c>
      <c r="AV68" s="17" t="s">
        <v>67</v>
      </c>
      <c r="AW68" s="6" t="str">
        <f t="shared" si="37"/>
        <v>TBP</v>
      </c>
    </row>
    <row r="69" spans="3:49" x14ac:dyDescent="0.3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5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6" t="s">
        <v>106</v>
      </c>
      <c r="AU69" s="6" t="str">
        <f t="shared" si="36"/>
        <v>TBP</v>
      </c>
      <c r="AV69" s="17" t="s">
        <v>106</v>
      </c>
      <c r="AW69" s="6" t="str">
        <f t="shared" si="37"/>
        <v>TBP</v>
      </c>
    </row>
    <row r="70" spans="3:49" x14ac:dyDescent="0.3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5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6" t="s">
        <v>74</v>
      </c>
      <c r="AU70" s="6" t="str">
        <f t="shared" si="36"/>
        <v>TBP</v>
      </c>
      <c r="AV70" s="17" t="s">
        <v>74</v>
      </c>
      <c r="AW70" s="6" t="str">
        <f t="shared" si="37"/>
        <v>TBP</v>
      </c>
    </row>
    <row r="71" spans="3:49" x14ac:dyDescent="0.3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5" t="s">
        <v>154</v>
      </c>
      <c r="W71" s="6" t="str">
        <f t="shared" si="24"/>
        <v>TBP</v>
      </c>
      <c r="X71" s="15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6" t="s">
        <v>59</v>
      </c>
      <c r="AU71" s="6" t="str">
        <f t="shared" si="36"/>
        <v>TBP</v>
      </c>
      <c r="AV71" s="17" t="s">
        <v>146</v>
      </c>
      <c r="AW71" s="6" t="str">
        <f t="shared" si="37"/>
        <v>TBP</v>
      </c>
    </row>
    <row r="72" spans="3:49" x14ac:dyDescent="0.3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5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6" t="s">
        <v>142</v>
      </c>
      <c r="AU72" s="6" t="str">
        <f t="shared" si="36"/>
        <v>TBP</v>
      </c>
      <c r="AV72" s="17" t="s">
        <v>142</v>
      </c>
      <c r="AW72" s="6" t="str">
        <f t="shared" si="37"/>
        <v>TBP</v>
      </c>
    </row>
    <row r="73" spans="3:49" x14ac:dyDescent="0.3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5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6" t="s">
        <v>48</v>
      </c>
      <c r="AU73" s="6" t="str">
        <f t="shared" si="36"/>
        <v>TBP</v>
      </c>
      <c r="AV73" s="17" t="s">
        <v>48</v>
      </c>
      <c r="AW73" s="6" t="str">
        <f t="shared" si="37"/>
        <v>TBP</v>
      </c>
    </row>
    <row r="74" spans="3:49" x14ac:dyDescent="0.3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9</v>
      </c>
      <c r="N74" s="1"/>
      <c r="O74" s="5">
        <f>COUNTIF(O2:O73, "Matched")</f>
        <v>12</v>
      </c>
      <c r="P74" s="1"/>
      <c r="Q74" s="5">
        <f>COUNTIF(Q2:Q73, "Matched")</f>
        <v>12</v>
      </c>
      <c r="R74" s="1"/>
      <c r="S74" s="5">
        <f>COUNTIF(S2:S73, "Matched")</f>
        <v>12</v>
      </c>
      <c r="T74" s="1"/>
      <c r="U74" s="5">
        <f>COUNTIF(U2:U73, "Matched")</f>
        <v>10</v>
      </c>
      <c r="V74" s="1"/>
      <c r="W74" s="5">
        <f>COUNTIF(W2:W73, "Matched")</f>
        <v>13</v>
      </c>
      <c r="X74" s="1"/>
      <c r="Y74" s="5">
        <f>COUNTIF(Y2:Y73, "Matched")</f>
        <v>12</v>
      </c>
      <c r="Z74" s="1"/>
      <c r="AA74" s="5">
        <f>COUNTIF(AA2:AA73, "Matched")</f>
        <v>13</v>
      </c>
      <c r="AB74" s="1"/>
      <c r="AC74" s="5">
        <f>COUNTIF(AC2:AC73, "Matched")</f>
        <v>13</v>
      </c>
      <c r="AD74" s="1"/>
      <c r="AE74" s="5">
        <f>COUNTIF(AE2:AE73, "Matched")</f>
        <v>12</v>
      </c>
      <c r="AF74" s="1"/>
      <c r="AG74" s="5">
        <f>COUNTIF(AG2:AG73, "Matched")</f>
        <v>14</v>
      </c>
      <c r="AH74" s="1"/>
      <c r="AI74" s="5">
        <f>COUNTIF(AI2:AI73, "Matched")</f>
        <v>12</v>
      </c>
      <c r="AJ74" s="1"/>
      <c r="AK74" s="5">
        <f>COUNTIF(AK2:AK73, "Matched")</f>
        <v>8</v>
      </c>
      <c r="AL74" s="1"/>
      <c r="AM74" s="5">
        <f>COUNTIF(AM2:AM73, "Matched")</f>
        <v>13</v>
      </c>
      <c r="AN74" s="1"/>
      <c r="AO74" s="5">
        <f>COUNTIF(AO2:AO73, "Matched")</f>
        <v>12</v>
      </c>
      <c r="AP74" s="1"/>
      <c r="AQ74" s="5">
        <f>COUNTIF(AQ2:AQ73, "Matched")</f>
        <v>11</v>
      </c>
      <c r="AR74" s="1"/>
      <c r="AS74" s="5">
        <f>COUNTIF(AS2:AS73, "Matched")</f>
        <v>14</v>
      </c>
      <c r="AT74" s="1"/>
      <c r="AU74" s="5">
        <f>COUNTIF(AU2:AU73, "Matched")</f>
        <v>13</v>
      </c>
      <c r="AV74" s="1"/>
      <c r="AW74" s="5">
        <f>COUNTIF(AW2:AW73, "Matched")</f>
        <v>12</v>
      </c>
    </row>
    <row r="75" spans="3:49" x14ac:dyDescent="0.3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3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3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3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3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3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3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3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3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3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3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3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3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3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3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3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3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3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3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3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3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3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3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3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3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3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3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3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3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3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3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3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3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3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4.5" x14ac:dyDescent="0.35"/>
  <cols>
    <col min="1" max="1" width="15.81640625" customWidth="1"/>
    <col min="2" max="2" width="12.7265625" customWidth="1"/>
    <col min="4" max="4" width="27.26953125" customWidth="1"/>
    <col min="7" max="7" width="11.26953125" bestFit="1" customWidth="1"/>
  </cols>
  <sheetData>
    <row r="1" spans="1:8" x14ac:dyDescent="0.3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3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3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3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3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3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3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3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3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3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3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3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3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3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3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3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3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3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3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3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325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schemas.microsoft.com/sharepoint/v3/field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721dfc99-fedf-49dc-96e4-8b6946f0e489"/>
    <ds:schemaRef ds:uri="http://purl.org/dc/dcmitype/"/>
    <ds:schemaRef ds:uri="http://purl.org/dc/elements/1.1/"/>
    <ds:schemaRef ds:uri="http://purl.org/dc/terms/"/>
    <ds:schemaRef ds:uri="37513636-cd07-4f62-aa39-05d899fa6391"/>
    <ds:schemaRef ds:uri="dc74d1ae-670c-41ed-9896-4cba0109067e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2026-06-18T04:01:28Z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