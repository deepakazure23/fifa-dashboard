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epak.Powar\fifa\"/>
    </mc:Choice>
  </mc:AlternateContent>
  <xr:revisionPtr revIDLastSave="0" documentId="13_ncr:1_{64266610-6FF9-42E4-B86B-45CB60B053DC}" xr6:coauthVersionLast="47" xr6:coauthVersionMax="47" xr10:uidLastSave="{00000000-0000-0000-0000-000000000000}"/>
  <bookViews>
    <workbookView xWindow="-110" yWindow="-110" windowWidth="19420" windowHeight="1150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S3" i="1" l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74" i="1" l="1"/>
  <c r="AU2" i="1"/>
</calcChain>
</file>

<file path=xl/sharedStrings.xml><?xml version="1.0" encoding="utf-8"?>
<sst xmlns="http://schemas.openxmlformats.org/spreadsheetml/2006/main" count="2082" uniqueCount="326">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</sst>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3" fillId="0" borderId="0" xfId="0" applyFont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7" fillId="0" borderId="1" xfId="0" applyFont="1" applyBorder="1"/>
    <xf numFmtId="0" fontId="7" fillId="0" borderId="3" xfId="0" applyFont="1" applyBorder="1" applyAlignment="1">
      <alignment horizontal="center"/>
    </xf>
    <xf numFmtId="0" fontId="8" fillId="0" borderId="0" xfId="0" applyFont="1"/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Normal="100" workbookViewId="0">
      <pane xSplit="8" ySplit="1" topLeftCell="K2" activePane="bottomRight" state="frozen"/>
      <selection pane="topRight" activeCell="I1" sqref="I1"/>
      <selection pane="bottomLeft" activeCell="A2" sqref="A2"/>
      <selection pane="bottomRight" activeCell="K13" sqref="K13"/>
    </sheetView>
  </sheetViews>
  <sheetFormatPr defaultColWidth="70.7265625" defaultRowHeight="14.5" x14ac:dyDescent="0.35"/>
  <cols>
    <col min="1" max="1" width="21.54296875" style="2" bestFit="1" customWidth="1"/>
    <col min="2" max="2" width="3.1796875" style="2" bestFit="1" customWidth="1"/>
    <col min="3" max="3" width="11.7265625" style="2" bestFit="1" customWidth="1"/>
    <col min="4" max="4" width="30.7265625" style="2" bestFit="1" customWidth="1"/>
    <col min="5" max="5" width="23.453125" style="11" bestFit="1" customWidth="1"/>
    <col min="6" max="6" width="12" style="6" bestFit="1" customWidth="1"/>
    <col min="7" max="8" width="21.1796875" style="2" bestFit="1" customWidth="1"/>
    <col min="9" max="9" width="8" style="2" bestFit="1" customWidth="1"/>
    <col min="10" max="10" width="31.54296875" style="2" bestFit="1" customWidth="1"/>
    <col min="11" max="11" width="11.26953125" style="2" customWidth="1"/>
    <col min="12" max="14" width="12.453125" style="2" bestFit="1" customWidth="1"/>
    <col min="15" max="15" width="9.81640625" style="2" customWidth="1"/>
    <col min="16" max="16" width="12.7265625" style="2" customWidth="1"/>
    <col min="17" max="17" width="11.81640625" style="2" bestFit="1" customWidth="1"/>
    <col min="18" max="18" width="15.81640625" style="2" bestFit="1" customWidth="1"/>
    <col min="19" max="19" width="17.7265625" style="2" bestFit="1" customWidth="1"/>
    <col min="20" max="20" width="11.81640625" style="2" bestFit="1" customWidth="1"/>
    <col min="21" max="21" width="13.7265625" style="2" bestFit="1" customWidth="1"/>
    <col min="22" max="22" width="11.54296875" style="2" bestFit="1" customWidth="1"/>
    <col min="23" max="23" width="13.453125" style="2" bestFit="1" customWidth="1"/>
    <col min="24" max="24" width="12.26953125" style="2" bestFit="1" customWidth="1"/>
    <col min="25" max="25" width="6.7265625" style="2" bestFit="1" customWidth="1"/>
    <col min="26" max="26" width="17.7265625" style="2" customWidth="1"/>
    <col min="27" max="27" width="6.54296875" style="2" bestFit="1" customWidth="1"/>
    <col min="28" max="28" width="12.453125" style="2" bestFit="1" customWidth="1"/>
    <col min="29" max="29" width="6.54296875" style="2" bestFit="1" customWidth="1"/>
    <col min="30" max="30" width="12.453125" style="2" bestFit="1" customWidth="1"/>
    <col min="31" max="31" width="6.54296875" style="2" bestFit="1" customWidth="1"/>
    <col min="32" max="32" width="14" style="2" customWidth="1"/>
    <col min="33" max="33" width="8" style="2" bestFit="1" customWidth="1"/>
    <col min="34" max="34" width="13.7265625" style="2" customWidth="1"/>
    <col min="35" max="35" width="6.7265625" style="2" bestFit="1" customWidth="1"/>
    <col min="36" max="36" width="12.453125" style="2" bestFit="1" customWidth="1"/>
    <col min="37" max="37" width="9.54296875" style="2" bestFit="1" customWidth="1"/>
    <col min="38" max="38" width="12.453125" style="2" bestFit="1" customWidth="1"/>
    <col min="39" max="39" width="6.7265625" style="2" bestFit="1" customWidth="1"/>
    <col min="40" max="40" width="10.7265625" style="2" customWidth="1"/>
    <col min="41" max="41" width="9.54296875" style="2" bestFit="1" customWidth="1"/>
    <col min="42" max="42" width="22.54296875" style="2" bestFit="1" customWidth="1"/>
    <col min="43" max="43" width="10.54296875" style="2" customWidth="1"/>
    <col min="44" max="44" width="22.54296875" style="2" bestFit="1" customWidth="1"/>
    <col min="45" max="45" width="13.1796875" style="2" bestFit="1" customWidth="1"/>
    <col min="46" max="46" width="20.453125" style="2" bestFit="1" customWidth="1"/>
    <col min="47" max="47" width="9.54296875" style="2" customWidth="1"/>
    <col min="48" max="48" width="10.7265625" style="2" bestFit="1" customWidth="1"/>
    <col min="49" max="49" width="14.7265625" style="2" customWidth="1"/>
    <col min="50" max="16384" width="70.7265625" style="2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10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1">
        <v>46185</v>
      </c>
      <c r="F2" s="14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5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2" t="str">
        <f>IF(ISBLANK(G2),"TBP",IF(AR2=K2,"Matched","No Match"))</f>
        <v>Matched</v>
      </c>
      <c r="AT2" s="19" t="s">
        <v>51</v>
      </c>
      <c r="AU2" s="6" t="str">
        <f>AS2</f>
        <v>Matched</v>
      </c>
      <c r="AV2" s="18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1">
        <v>46185</v>
      </c>
      <c r="F3" s="14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6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5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2" t="str">
        <f t="shared" ref="AS3:AS66" si="16">IF(ISBLANK(G3),"TBP",IF(AR3=K3,"Matched","No Match"))</f>
        <v>Matched</v>
      </c>
      <c r="AT3" s="19" t="s">
        <v>56</v>
      </c>
      <c r="AU3" s="6" t="str">
        <f t="shared" ref="AU3:AU66" si="17">IF(ISBLANK(K3),"TBP",IF(AT3=K3,"Matched","No Match"))</f>
        <v>Matched</v>
      </c>
      <c r="AV3" s="18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1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5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2" t="str">
        <f t="shared" si="16"/>
        <v>No Match</v>
      </c>
      <c r="AT4" s="19" t="s">
        <v>64</v>
      </c>
      <c r="AU4" s="6" t="str">
        <f t="shared" si="17"/>
        <v>No Match</v>
      </c>
      <c r="AV4" s="18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1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6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6" t="s">
        <v>59</v>
      </c>
      <c r="AK5" s="6" t="str">
        <f t="shared" si="12"/>
        <v>No Match</v>
      </c>
      <c r="AL5" s="15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2" t="str">
        <f t="shared" si="16"/>
        <v>Matched</v>
      </c>
      <c r="AT5" s="19" t="s">
        <v>71</v>
      </c>
      <c r="AU5" s="6" t="str">
        <f t="shared" si="17"/>
        <v>Matched</v>
      </c>
      <c r="AV5" s="18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1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6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6" t="s">
        <v>77</v>
      </c>
      <c r="AC6" s="6" t="str">
        <f t="shared" si="8"/>
        <v>No Match</v>
      </c>
      <c r="AD6" s="17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5" t="s">
        <v>77</v>
      </c>
      <c r="AK6" s="6" t="str">
        <f t="shared" si="12"/>
        <v>No Match</v>
      </c>
      <c r="AL6" s="15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2" t="str">
        <f t="shared" si="16"/>
        <v>No Match</v>
      </c>
      <c r="AT6" s="19" t="s">
        <v>77</v>
      </c>
      <c r="AU6" s="6" t="str">
        <f t="shared" si="17"/>
        <v>No Match</v>
      </c>
      <c r="AV6" s="18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1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5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2" t="str">
        <f t="shared" si="16"/>
        <v>No Match</v>
      </c>
      <c r="AT7" s="19" t="s">
        <v>79</v>
      </c>
      <c r="AU7" s="6" t="str">
        <f t="shared" si="17"/>
        <v>No Match</v>
      </c>
      <c r="AV7" s="18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1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5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2" t="str">
        <f t="shared" si="16"/>
        <v>Matched</v>
      </c>
      <c r="AT8" s="19" t="s">
        <v>87</v>
      </c>
      <c r="AU8" s="6" t="str">
        <f t="shared" si="17"/>
        <v>Matched</v>
      </c>
      <c r="AV8" s="18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1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6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5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2" t="str">
        <f t="shared" si="16"/>
        <v>Matched</v>
      </c>
      <c r="AT9" s="19" t="s">
        <v>93</v>
      </c>
      <c r="AU9" s="6" t="str">
        <f t="shared" si="17"/>
        <v>No Match</v>
      </c>
      <c r="AV9" s="18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1">
        <v>46188</v>
      </c>
      <c r="F10" s="14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5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2" t="str">
        <f t="shared" si="16"/>
        <v>Matched</v>
      </c>
      <c r="AT10" s="19" t="s">
        <v>99</v>
      </c>
      <c r="AU10" s="6" t="str">
        <f t="shared" si="17"/>
        <v>Matched</v>
      </c>
      <c r="AV10" s="18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1">
        <v>46188</v>
      </c>
      <c r="F11" s="14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5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2" t="str">
        <f t="shared" si="16"/>
        <v>No Match</v>
      </c>
      <c r="AT11" s="19" t="s">
        <v>89</v>
      </c>
      <c r="AU11" s="6" t="str">
        <f t="shared" si="17"/>
        <v>No Match</v>
      </c>
      <c r="AV11" s="18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1">
        <v>46188</v>
      </c>
      <c r="F12" s="14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/>
      <c r="L12" s="6" t="s">
        <v>108</v>
      </c>
      <c r="M12" s="1" t="str">
        <f t="shared" si="0"/>
        <v>TBP</v>
      </c>
      <c r="N12" s="1" t="s">
        <v>109</v>
      </c>
      <c r="O12" s="1" t="str">
        <f t="shared" si="1"/>
        <v>TBP</v>
      </c>
      <c r="P12" s="6" t="s">
        <v>109</v>
      </c>
      <c r="Q12" s="1" t="str">
        <f t="shared" si="2"/>
        <v>TBP</v>
      </c>
      <c r="R12" s="6" t="s">
        <v>59</v>
      </c>
      <c r="S12" s="1" t="str">
        <f t="shared" si="3"/>
        <v>TBP</v>
      </c>
      <c r="T12" s="1" t="s">
        <v>109</v>
      </c>
      <c r="U12" s="6" t="str">
        <f t="shared" si="4"/>
        <v>TBP</v>
      </c>
      <c r="V12" s="16" t="s">
        <v>109</v>
      </c>
      <c r="W12" s="6" t="str">
        <f t="shared" si="5"/>
        <v>TBP</v>
      </c>
      <c r="X12" s="6" t="s">
        <v>59</v>
      </c>
      <c r="Y12" s="6" t="str">
        <f t="shared" si="6"/>
        <v>TBP</v>
      </c>
      <c r="Z12" s="6" t="s">
        <v>109</v>
      </c>
      <c r="AA12" s="6" t="str">
        <f t="shared" si="7"/>
        <v>TBP</v>
      </c>
      <c r="AB12" s="6" t="s">
        <v>109</v>
      </c>
      <c r="AC12" s="6" t="str">
        <f t="shared" si="8"/>
        <v>TBP</v>
      </c>
      <c r="AD12" s="6" t="s">
        <v>108</v>
      </c>
      <c r="AE12" s="6" t="str">
        <f t="shared" si="9"/>
        <v>TBP</v>
      </c>
      <c r="AF12" s="6" t="s">
        <v>108</v>
      </c>
      <c r="AG12" s="6" t="str">
        <f t="shared" si="10"/>
        <v>TBP</v>
      </c>
      <c r="AH12" s="6" t="s">
        <v>109</v>
      </c>
      <c r="AI12" s="6" t="str">
        <f t="shared" si="11"/>
        <v>TBP</v>
      </c>
      <c r="AJ12" s="6" t="s">
        <v>59</v>
      </c>
      <c r="AK12" s="6" t="str">
        <f t="shared" si="12"/>
        <v>TBP</v>
      </c>
      <c r="AL12" s="15" t="s">
        <v>109</v>
      </c>
      <c r="AM12" s="6" t="str">
        <f t="shared" si="13"/>
        <v>TBP</v>
      </c>
      <c r="AN12" s="6" t="s">
        <v>59</v>
      </c>
      <c r="AO12" s="6" t="str">
        <f t="shared" si="14"/>
        <v>TBP</v>
      </c>
      <c r="AP12" s="6" t="s">
        <v>109</v>
      </c>
      <c r="AQ12" s="6" t="str">
        <f t="shared" si="15"/>
        <v>TBP</v>
      </c>
      <c r="AR12" s="6" t="s">
        <v>109</v>
      </c>
      <c r="AS12" s="2" t="str">
        <f t="shared" si="16"/>
        <v>No Match</v>
      </c>
      <c r="AT12" s="19" t="s">
        <v>109</v>
      </c>
      <c r="AU12" s="6" t="str">
        <f t="shared" si="17"/>
        <v>TBP</v>
      </c>
      <c r="AV12" s="18" t="s">
        <v>109</v>
      </c>
      <c r="AW12" s="6" t="str">
        <f t="shared" si="18"/>
        <v>TBP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1">
        <v>46188</v>
      </c>
      <c r="F13" s="14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/>
      <c r="L13" s="6" t="s">
        <v>59</v>
      </c>
      <c r="M13" s="1" t="str">
        <f t="shared" si="0"/>
        <v>TBP</v>
      </c>
      <c r="N13" s="1" t="s">
        <v>113</v>
      </c>
      <c r="O13" s="1" t="str">
        <f t="shared" si="1"/>
        <v>TBP</v>
      </c>
      <c r="P13" s="6" t="s">
        <v>113</v>
      </c>
      <c r="Q13" s="1" t="str">
        <f t="shared" si="2"/>
        <v>TBP</v>
      </c>
      <c r="R13" s="6" t="s">
        <v>59</v>
      </c>
      <c r="S13" s="1" t="str">
        <f t="shared" si="3"/>
        <v>TBP</v>
      </c>
      <c r="T13" s="1" t="s">
        <v>113</v>
      </c>
      <c r="U13" s="6" t="str">
        <f t="shared" si="4"/>
        <v>TBP</v>
      </c>
      <c r="V13" s="6" t="s">
        <v>113</v>
      </c>
      <c r="W13" s="6" t="str">
        <f t="shared" si="5"/>
        <v>TBP</v>
      </c>
      <c r="X13" s="16" t="s">
        <v>113</v>
      </c>
      <c r="Y13" s="6" t="str">
        <f t="shared" si="6"/>
        <v>TBP</v>
      </c>
      <c r="Z13" s="6" t="s">
        <v>113</v>
      </c>
      <c r="AA13" s="6" t="str">
        <f t="shared" si="7"/>
        <v>TBP</v>
      </c>
      <c r="AB13" s="6" t="s">
        <v>113</v>
      </c>
      <c r="AC13" s="6" t="str">
        <f t="shared" si="8"/>
        <v>TBP</v>
      </c>
      <c r="AD13" s="6" t="s">
        <v>113</v>
      </c>
      <c r="AE13" s="6" t="str">
        <f t="shared" si="9"/>
        <v>TBP</v>
      </c>
      <c r="AF13" s="6" t="s">
        <v>113</v>
      </c>
      <c r="AG13" s="6" t="str">
        <f t="shared" si="10"/>
        <v>TBP</v>
      </c>
      <c r="AH13" s="6" t="s">
        <v>113</v>
      </c>
      <c r="AI13" s="6" t="str">
        <f t="shared" si="11"/>
        <v>TBP</v>
      </c>
      <c r="AJ13" s="6" t="s">
        <v>59</v>
      </c>
      <c r="AK13" s="6" t="str">
        <f t="shared" si="12"/>
        <v>TBP</v>
      </c>
      <c r="AL13" s="15" t="s">
        <v>113</v>
      </c>
      <c r="AM13" s="6" t="str">
        <f t="shared" si="13"/>
        <v>TBP</v>
      </c>
      <c r="AN13" s="6" t="s">
        <v>113</v>
      </c>
      <c r="AO13" s="6" t="str">
        <f t="shared" si="14"/>
        <v>TBP</v>
      </c>
      <c r="AP13" s="6" t="s">
        <v>113</v>
      </c>
      <c r="AQ13" s="6" t="str">
        <f t="shared" si="15"/>
        <v>TBP</v>
      </c>
      <c r="AR13" s="6" t="s">
        <v>113</v>
      </c>
      <c r="AS13" s="2" t="str">
        <f t="shared" si="16"/>
        <v>No Match</v>
      </c>
      <c r="AT13" s="19" t="s">
        <v>113</v>
      </c>
      <c r="AU13" s="6" t="str">
        <f t="shared" si="17"/>
        <v>TBP</v>
      </c>
      <c r="AV13" s="18" t="s">
        <v>113</v>
      </c>
      <c r="AW13" s="6" t="str">
        <f t="shared" si="18"/>
        <v>TBP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1">
        <v>46189</v>
      </c>
      <c r="F14" s="14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/>
      <c r="L14" s="6" t="s">
        <v>54</v>
      </c>
      <c r="M14" s="1" t="str">
        <f t="shared" si="0"/>
        <v>TBP</v>
      </c>
      <c r="N14" s="1" t="s">
        <v>54</v>
      </c>
      <c r="O14" s="1" t="str">
        <f t="shared" si="1"/>
        <v>TBP</v>
      </c>
      <c r="P14" s="6" t="s">
        <v>54</v>
      </c>
      <c r="Q14" s="1" t="str">
        <f t="shared" si="2"/>
        <v>TBP</v>
      </c>
      <c r="R14" s="6" t="s">
        <v>54</v>
      </c>
      <c r="S14" s="1" t="str">
        <f t="shared" si="3"/>
        <v>TBP</v>
      </c>
      <c r="T14" s="1" t="s">
        <v>54</v>
      </c>
      <c r="U14" s="6" t="str">
        <f t="shared" si="4"/>
        <v>TBP</v>
      </c>
      <c r="V14" s="6" t="s">
        <v>54</v>
      </c>
      <c r="W14" s="6" t="str">
        <f t="shared" si="5"/>
        <v>TBP</v>
      </c>
      <c r="X14" s="16" t="s">
        <v>54</v>
      </c>
      <c r="Y14" s="6" t="str">
        <f t="shared" si="6"/>
        <v>TBP</v>
      </c>
      <c r="Z14" s="6" t="s">
        <v>54</v>
      </c>
      <c r="AA14" s="6" t="str">
        <f t="shared" si="7"/>
        <v>TBP</v>
      </c>
      <c r="AB14" s="6" t="s">
        <v>54</v>
      </c>
      <c r="AC14" s="6" t="str">
        <f t="shared" si="8"/>
        <v>TBP</v>
      </c>
      <c r="AD14" s="6" t="s">
        <v>54</v>
      </c>
      <c r="AE14" s="6" t="str">
        <f t="shared" si="9"/>
        <v>TBP</v>
      </c>
      <c r="AF14" s="6" t="s">
        <v>54</v>
      </c>
      <c r="AG14" s="6" t="str">
        <f t="shared" si="10"/>
        <v>TBP</v>
      </c>
      <c r="AH14" s="6" t="s">
        <v>54</v>
      </c>
      <c r="AI14" s="6" t="str">
        <f t="shared" si="11"/>
        <v>TBP</v>
      </c>
      <c r="AJ14" s="6" t="s">
        <v>54</v>
      </c>
      <c r="AK14" s="6" t="str">
        <f t="shared" si="12"/>
        <v>TBP</v>
      </c>
      <c r="AL14" s="15" t="s">
        <v>54</v>
      </c>
      <c r="AM14" s="6" t="str">
        <f t="shared" si="13"/>
        <v>TBP</v>
      </c>
      <c r="AN14" s="6" t="s">
        <v>54</v>
      </c>
      <c r="AO14" s="6" t="str">
        <f t="shared" si="14"/>
        <v>TBP</v>
      </c>
      <c r="AP14" s="6" t="s">
        <v>54</v>
      </c>
      <c r="AQ14" s="6" t="str">
        <f t="shared" si="15"/>
        <v>TBP</v>
      </c>
      <c r="AR14" s="6" t="s">
        <v>54</v>
      </c>
      <c r="AS14" s="2" t="str">
        <f t="shared" si="16"/>
        <v>No Match</v>
      </c>
      <c r="AT14" s="19" t="s">
        <v>54</v>
      </c>
      <c r="AU14" s="6" t="str">
        <f t="shared" si="17"/>
        <v>TBP</v>
      </c>
      <c r="AV14" s="18" t="s">
        <v>54</v>
      </c>
      <c r="AW14" s="6" t="str">
        <f t="shared" si="18"/>
        <v>TBP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1">
        <v>46189</v>
      </c>
      <c r="F15" s="14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/>
      <c r="L15" s="6" t="s">
        <v>96</v>
      </c>
      <c r="M15" s="1" t="str">
        <f t="shared" si="0"/>
        <v>TBP</v>
      </c>
      <c r="N15" s="1" t="s">
        <v>96</v>
      </c>
      <c r="O15" s="1" t="str">
        <f t="shared" si="1"/>
        <v>TBP</v>
      </c>
      <c r="P15" s="6" t="s">
        <v>96</v>
      </c>
      <c r="Q15" s="1" t="str">
        <f t="shared" si="2"/>
        <v>TBP</v>
      </c>
      <c r="R15" s="6" t="s">
        <v>96</v>
      </c>
      <c r="S15" s="1" t="str">
        <f t="shared" si="3"/>
        <v>TBP</v>
      </c>
      <c r="T15" s="1" t="s">
        <v>96</v>
      </c>
      <c r="U15" s="6" t="str">
        <f t="shared" si="4"/>
        <v>TBP</v>
      </c>
      <c r="V15" s="6" t="s">
        <v>96</v>
      </c>
      <c r="W15" s="6" t="str">
        <f t="shared" si="5"/>
        <v>TBP</v>
      </c>
      <c r="X15" s="16" t="s">
        <v>96</v>
      </c>
      <c r="Y15" s="6" t="str">
        <f t="shared" si="6"/>
        <v>TBP</v>
      </c>
      <c r="Z15" s="6" t="s">
        <v>123</v>
      </c>
      <c r="AA15" s="6" t="str">
        <f t="shared" si="7"/>
        <v>TBP</v>
      </c>
      <c r="AB15" s="16" t="s">
        <v>96</v>
      </c>
      <c r="AC15" s="6" t="str">
        <f t="shared" si="8"/>
        <v>TBP</v>
      </c>
      <c r="AD15" s="6" t="s">
        <v>96</v>
      </c>
      <c r="AE15" s="6" t="str">
        <f t="shared" si="9"/>
        <v>TBP</v>
      </c>
      <c r="AF15" s="6" t="s">
        <v>96</v>
      </c>
      <c r="AG15" s="6" t="str">
        <f t="shared" si="10"/>
        <v>TBP</v>
      </c>
      <c r="AH15" s="6" t="s">
        <v>96</v>
      </c>
      <c r="AI15" s="6" t="str">
        <f t="shared" si="11"/>
        <v>TBP</v>
      </c>
      <c r="AJ15" s="6" t="s">
        <v>96</v>
      </c>
      <c r="AK15" s="6" t="str">
        <f t="shared" si="12"/>
        <v>TBP</v>
      </c>
      <c r="AL15" s="15" t="s">
        <v>96</v>
      </c>
      <c r="AM15" s="6" t="str">
        <f t="shared" si="13"/>
        <v>TBP</v>
      </c>
      <c r="AN15" s="6" t="s">
        <v>96</v>
      </c>
      <c r="AO15" s="6" t="str">
        <f t="shared" si="14"/>
        <v>TBP</v>
      </c>
      <c r="AP15" s="6" t="s">
        <v>96</v>
      </c>
      <c r="AQ15" s="6" t="str">
        <f t="shared" si="15"/>
        <v>TBP</v>
      </c>
      <c r="AR15" s="6" t="s">
        <v>96</v>
      </c>
      <c r="AS15" s="2" t="str">
        <f t="shared" si="16"/>
        <v>No Match</v>
      </c>
      <c r="AT15" s="19" t="s">
        <v>96</v>
      </c>
      <c r="AU15" s="6" t="str">
        <f t="shared" si="17"/>
        <v>TBP</v>
      </c>
      <c r="AV15" s="18" t="s">
        <v>96</v>
      </c>
      <c r="AW15" s="6" t="str">
        <f t="shared" si="18"/>
        <v>TBP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1">
        <v>46189</v>
      </c>
      <c r="F16" s="14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/>
      <c r="L16" s="6" t="s">
        <v>127</v>
      </c>
      <c r="M16" s="1" t="str">
        <f t="shared" si="0"/>
        <v>TBP</v>
      </c>
      <c r="N16" s="1" t="s">
        <v>127</v>
      </c>
      <c r="O16" s="1" t="str">
        <f t="shared" si="1"/>
        <v>TBP</v>
      </c>
      <c r="P16" s="6" t="s">
        <v>127</v>
      </c>
      <c r="Q16" s="1" t="str">
        <f t="shared" si="2"/>
        <v>TBP</v>
      </c>
      <c r="R16" s="6" t="s">
        <v>127</v>
      </c>
      <c r="S16" s="1" t="str">
        <f t="shared" si="3"/>
        <v>TBP</v>
      </c>
      <c r="T16" s="1" t="s">
        <v>127</v>
      </c>
      <c r="U16" s="6" t="str">
        <f t="shared" si="4"/>
        <v>TBP</v>
      </c>
      <c r="V16" s="6" t="s">
        <v>127</v>
      </c>
      <c r="W16" s="6" t="str">
        <f t="shared" si="5"/>
        <v>TBP</v>
      </c>
      <c r="X16" s="16" t="s">
        <v>127</v>
      </c>
      <c r="Y16" s="6" t="str">
        <f t="shared" si="6"/>
        <v>TBP</v>
      </c>
      <c r="Z16" s="6" t="s">
        <v>127</v>
      </c>
      <c r="AA16" s="6" t="str">
        <f t="shared" si="7"/>
        <v>TBP</v>
      </c>
      <c r="AB16" s="16" t="s">
        <v>127</v>
      </c>
      <c r="AC16" s="6" t="str">
        <f t="shared" si="8"/>
        <v>TBP</v>
      </c>
      <c r="AD16" s="6" t="s">
        <v>127</v>
      </c>
      <c r="AE16" s="6" t="str">
        <f t="shared" si="9"/>
        <v>TBP</v>
      </c>
      <c r="AF16" s="16" t="s">
        <v>126</v>
      </c>
      <c r="AG16" s="6" t="str">
        <f t="shared" si="10"/>
        <v>TBP</v>
      </c>
      <c r="AH16" s="6" t="s">
        <v>127</v>
      </c>
      <c r="AI16" s="6" t="str">
        <f t="shared" si="11"/>
        <v>TBP</v>
      </c>
      <c r="AJ16" s="6" t="s">
        <v>127</v>
      </c>
      <c r="AK16" s="6" t="str">
        <f t="shared" si="12"/>
        <v>TBP</v>
      </c>
      <c r="AL16" s="15" t="s">
        <v>127</v>
      </c>
      <c r="AM16" s="6" t="str">
        <f t="shared" si="13"/>
        <v>TBP</v>
      </c>
      <c r="AN16" s="6" t="s">
        <v>127</v>
      </c>
      <c r="AO16" s="6" t="str">
        <f t="shared" si="14"/>
        <v>TBP</v>
      </c>
      <c r="AP16" s="6" t="s">
        <v>127</v>
      </c>
      <c r="AQ16" s="6" t="str">
        <f t="shared" si="15"/>
        <v>TBP</v>
      </c>
      <c r="AR16" s="6" t="s">
        <v>127</v>
      </c>
      <c r="AS16" s="2" t="str">
        <f t="shared" si="16"/>
        <v>No Match</v>
      </c>
      <c r="AT16" s="19" t="s">
        <v>127</v>
      </c>
      <c r="AU16" s="6" t="str">
        <f t="shared" si="17"/>
        <v>TBP</v>
      </c>
      <c r="AV16" s="18" t="s">
        <v>127</v>
      </c>
      <c r="AW16" s="6" t="str">
        <f t="shared" si="18"/>
        <v>TBP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1">
        <v>46189</v>
      </c>
      <c r="F17" s="14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/>
      <c r="L17" s="6" t="s">
        <v>59</v>
      </c>
      <c r="M17" s="1" t="str">
        <f t="shared" si="0"/>
        <v>TBP</v>
      </c>
      <c r="N17" s="6" t="s">
        <v>131</v>
      </c>
      <c r="O17" s="1" t="str">
        <f t="shared" si="1"/>
        <v>TBP</v>
      </c>
      <c r="P17" s="6" t="s">
        <v>131</v>
      </c>
      <c r="Q17" s="1" t="str">
        <f t="shared" si="2"/>
        <v>TBP</v>
      </c>
      <c r="R17" s="6" t="s">
        <v>131</v>
      </c>
      <c r="S17" s="1" t="str">
        <f t="shared" si="3"/>
        <v>TBP</v>
      </c>
      <c r="T17" s="1" t="s">
        <v>130</v>
      </c>
      <c r="U17" s="6" t="str">
        <f t="shared" si="4"/>
        <v>TBP</v>
      </c>
      <c r="V17" s="16" t="s">
        <v>131</v>
      </c>
      <c r="W17" s="6" t="str">
        <f t="shared" si="5"/>
        <v>TBP</v>
      </c>
      <c r="X17" s="16" t="s">
        <v>130</v>
      </c>
      <c r="Y17" s="6" t="str">
        <f t="shared" si="6"/>
        <v>TBP</v>
      </c>
      <c r="Z17" s="6" t="s">
        <v>131</v>
      </c>
      <c r="AA17" s="6" t="str">
        <f t="shared" si="7"/>
        <v>TBP</v>
      </c>
      <c r="AB17" s="6" t="s">
        <v>131</v>
      </c>
      <c r="AC17" s="6" t="str">
        <f t="shared" si="8"/>
        <v>TBP</v>
      </c>
      <c r="AD17" s="6" t="s">
        <v>131</v>
      </c>
      <c r="AE17" s="6" t="str">
        <f t="shared" si="9"/>
        <v>TBP</v>
      </c>
      <c r="AF17" s="6" t="s">
        <v>131</v>
      </c>
      <c r="AG17" s="6" t="str">
        <f t="shared" si="10"/>
        <v>TBP</v>
      </c>
      <c r="AH17" s="6" t="s">
        <v>131</v>
      </c>
      <c r="AI17" s="6" t="str">
        <f t="shared" si="11"/>
        <v>TBP</v>
      </c>
      <c r="AJ17" s="6" t="s">
        <v>130</v>
      </c>
      <c r="AK17" s="6" t="str">
        <f t="shared" si="12"/>
        <v>TBP</v>
      </c>
      <c r="AL17" s="15" t="s">
        <v>131</v>
      </c>
      <c r="AM17" s="6" t="str">
        <f t="shared" si="13"/>
        <v>TBP</v>
      </c>
      <c r="AN17" s="6" t="s">
        <v>130</v>
      </c>
      <c r="AO17" s="6" t="str">
        <f t="shared" si="14"/>
        <v>TBP</v>
      </c>
      <c r="AP17" s="6" t="s">
        <v>59</v>
      </c>
      <c r="AQ17" s="6" t="str">
        <f t="shared" si="15"/>
        <v>TBP</v>
      </c>
      <c r="AR17" s="6" t="s">
        <v>130</v>
      </c>
      <c r="AS17" s="2" t="str">
        <f t="shared" si="16"/>
        <v>No Match</v>
      </c>
      <c r="AT17" s="19" t="s">
        <v>130</v>
      </c>
      <c r="AU17" s="6" t="str">
        <f t="shared" si="17"/>
        <v>TBP</v>
      </c>
      <c r="AV17" s="18" t="s">
        <v>130</v>
      </c>
      <c r="AW17" s="6" t="str">
        <f t="shared" si="18"/>
        <v>TBP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1">
        <v>46190</v>
      </c>
      <c r="F18" s="14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/>
      <c r="L18" s="6" t="s">
        <v>60</v>
      </c>
      <c r="M18" s="1" t="str">
        <f t="shared" si="0"/>
        <v>TBP</v>
      </c>
      <c r="N18" s="1" t="s">
        <v>60</v>
      </c>
      <c r="O18" s="1" t="str">
        <f t="shared" si="1"/>
        <v>TBP</v>
      </c>
      <c r="P18" s="6" t="s">
        <v>60</v>
      </c>
      <c r="Q18" s="1" t="str">
        <f t="shared" si="2"/>
        <v>TBP</v>
      </c>
      <c r="R18" s="6" t="s">
        <v>60</v>
      </c>
      <c r="S18" s="1" t="str">
        <f t="shared" si="3"/>
        <v>TBP</v>
      </c>
      <c r="T18" s="1" t="s">
        <v>60</v>
      </c>
      <c r="U18" s="6" t="str">
        <f t="shared" si="4"/>
        <v>TBP</v>
      </c>
      <c r="V18" s="6" t="s">
        <v>60</v>
      </c>
      <c r="W18" s="6" t="str">
        <f t="shared" si="5"/>
        <v>TBP</v>
      </c>
      <c r="X18" s="6" t="s">
        <v>60</v>
      </c>
      <c r="Y18" s="6" t="str">
        <f t="shared" si="6"/>
        <v>TBP</v>
      </c>
      <c r="Z18" s="6" t="s">
        <v>60</v>
      </c>
      <c r="AA18" s="6" t="str">
        <f t="shared" si="7"/>
        <v>TBP</v>
      </c>
      <c r="AB18" s="6" t="s">
        <v>60</v>
      </c>
      <c r="AC18" s="6" t="str">
        <f t="shared" si="8"/>
        <v>TBP</v>
      </c>
      <c r="AD18" s="6" t="s">
        <v>60</v>
      </c>
      <c r="AE18" s="6" t="str">
        <f t="shared" si="9"/>
        <v>TBP</v>
      </c>
      <c r="AF18" s="6" t="s">
        <v>60</v>
      </c>
      <c r="AG18" s="6" t="str">
        <f t="shared" si="10"/>
        <v>TBP</v>
      </c>
      <c r="AH18" s="6" t="s">
        <v>60</v>
      </c>
      <c r="AI18" s="6" t="str">
        <f t="shared" si="11"/>
        <v>TBP</v>
      </c>
      <c r="AJ18" s="6" t="s">
        <v>60</v>
      </c>
      <c r="AK18" s="6" t="str">
        <f>IF(ISBLANK(K18),"TBP",IF(AJ19=K18,"Matched","No Match"))</f>
        <v>TBP</v>
      </c>
      <c r="AL18" s="15" t="s">
        <v>60</v>
      </c>
      <c r="AM18" s="6" t="str">
        <f t="shared" si="13"/>
        <v>TBP</v>
      </c>
      <c r="AN18" s="6" t="s">
        <v>60</v>
      </c>
      <c r="AO18" s="6" t="str">
        <f t="shared" si="14"/>
        <v>TBP</v>
      </c>
      <c r="AP18" s="6" t="s">
        <v>60</v>
      </c>
      <c r="AQ18" s="6" t="str">
        <f t="shared" si="15"/>
        <v>TBP</v>
      </c>
      <c r="AR18" s="6" t="s">
        <v>60</v>
      </c>
      <c r="AS18" s="2" t="str">
        <f t="shared" si="16"/>
        <v>No Match</v>
      </c>
      <c r="AT18" s="19" t="s">
        <v>60</v>
      </c>
      <c r="AU18" s="6" t="str">
        <f t="shared" si="17"/>
        <v>TBP</v>
      </c>
      <c r="AV18" s="18" t="s">
        <v>60</v>
      </c>
      <c r="AW18" s="6" t="str">
        <f t="shared" si="18"/>
        <v>TBP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1">
        <v>46190</v>
      </c>
      <c r="F19" s="14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/>
      <c r="L19" s="6" t="s">
        <v>136</v>
      </c>
      <c r="M19" s="1" t="str">
        <f t="shared" si="0"/>
        <v>TBP</v>
      </c>
      <c r="N19" s="1" t="s">
        <v>136</v>
      </c>
      <c r="O19" s="1" t="str">
        <f t="shared" si="1"/>
        <v>TBP</v>
      </c>
      <c r="P19" s="6" t="s">
        <v>136</v>
      </c>
      <c r="Q19" s="1" t="str">
        <f t="shared" si="2"/>
        <v>TBP</v>
      </c>
      <c r="R19" s="6" t="s">
        <v>136</v>
      </c>
      <c r="S19" s="1" t="str">
        <f t="shared" si="3"/>
        <v>TBP</v>
      </c>
      <c r="T19" s="1" t="s">
        <v>136</v>
      </c>
      <c r="U19" s="6" t="str">
        <f t="shared" si="4"/>
        <v>TBP</v>
      </c>
      <c r="V19" s="6" t="s">
        <v>136</v>
      </c>
      <c r="W19" s="6" t="str">
        <f t="shared" si="5"/>
        <v>TBP</v>
      </c>
      <c r="X19" s="6" t="s">
        <v>136</v>
      </c>
      <c r="Y19" s="6" t="str">
        <f t="shared" si="6"/>
        <v>TBP</v>
      </c>
      <c r="Z19" s="6" t="s">
        <v>136</v>
      </c>
      <c r="AA19" s="6" t="str">
        <f t="shared" si="7"/>
        <v>TBP</v>
      </c>
      <c r="AB19" s="6" t="s">
        <v>136</v>
      </c>
      <c r="AC19" s="6" t="str">
        <f t="shared" si="8"/>
        <v>TBP</v>
      </c>
      <c r="AD19" s="6" t="s">
        <v>136</v>
      </c>
      <c r="AE19" s="6" t="str">
        <f t="shared" si="9"/>
        <v>TBP</v>
      </c>
      <c r="AF19" s="6" t="s">
        <v>136</v>
      </c>
      <c r="AG19" s="6" t="str">
        <f t="shared" si="10"/>
        <v>TBP</v>
      </c>
      <c r="AH19" s="6" t="s">
        <v>136</v>
      </c>
      <c r="AI19" s="6" t="str">
        <f t="shared" si="11"/>
        <v>TBP</v>
      </c>
      <c r="AJ19" s="6" t="s">
        <v>136</v>
      </c>
      <c r="AK19" s="6" t="str">
        <f>IF(ISBLANK(K19),"TBP",IF(#REF!=K19,"Matched","No Match"))</f>
        <v>TBP</v>
      </c>
      <c r="AL19" s="15" t="s">
        <v>136</v>
      </c>
      <c r="AM19" s="6" t="str">
        <f t="shared" si="13"/>
        <v>TBP</v>
      </c>
      <c r="AN19" s="6" t="s">
        <v>136</v>
      </c>
      <c r="AO19" s="6" t="str">
        <f t="shared" si="14"/>
        <v>TBP</v>
      </c>
      <c r="AP19" s="6" t="s">
        <v>135</v>
      </c>
      <c r="AQ19" s="6" t="str">
        <f t="shared" si="15"/>
        <v>TBP</v>
      </c>
      <c r="AR19" s="6" t="s">
        <v>136</v>
      </c>
      <c r="AS19" s="2" t="str">
        <f t="shared" si="16"/>
        <v>No Match</v>
      </c>
      <c r="AT19" s="19" t="s">
        <v>136</v>
      </c>
      <c r="AU19" s="6" t="str">
        <f t="shared" si="17"/>
        <v>TBP</v>
      </c>
      <c r="AV19" s="18" t="s">
        <v>136</v>
      </c>
      <c r="AW19" s="6" t="str">
        <f t="shared" si="18"/>
        <v>TBP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1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/>
      <c r="L20" s="6" t="s">
        <v>48</v>
      </c>
      <c r="M20" s="1" t="str">
        <f t="shared" si="0"/>
        <v>TBP</v>
      </c>
      <c r="N20" s="1" t="s">
        <v>48</v>
      </c>
      <c r="O20" s="1" t="str">
        <f t="shared" si="1"/>
        <v>TBP</v>
      </c>
      <c r="P20" s="6" t="s">
        <v>48</v>
      </c>
      <c r="Q20" s="1" t="str">
        <f t="shared" si="2"/>
        <v>TBP</v>
      </c>
      <c r="R20" s="6" t="s">
        <v>48</v>
      </c>
      <c r="S20" s="1" t="str">
        <f t="shared" si="3"/>
        <v>TBP</v>
      </c>
      <c r="T20" s="1" t="s">
        <v>48</v>
      </c>
      <c r="U20" s="6" t="str">
        <f t="shared" si="4"/>
        <v>TBP</v>
      </c>
      <c r="V20" s="6" t="s">
        <v>48</v>
      </c>
      <c r="W20" s="6" t="str">
        <f t="shared" si="5"/>
        <v>TBP</v>
      </c>
      <c r="X20" s="6" t="s">
        <v>48</v>
      </c>
      <c r="Y20" s="6" t="str">
        <f t="shared" si="6"/>
        <v>TBP</v>
      </c>
      <c r="Z20" s="6" t="s">
        <v>48</v>
      </c>
      <c r="AA20" s="6" t="str">
        <f t="shared" si="7"/>
        <v>TBP</v>
      </c>
      <c r="AB20" s="6" t="s">
        <v>48</v>
      </c>
      <c r="AC20" s="6" t="str">
        <f t="shared" si="8"/>
        <v>TBP</v>
      </c>
      <c r="AD20" s="6" t="s">
        <v>48</v>
      </c>
      <c r="AE20" s="6" t="str">
        <f t="shared" si="9"/>
        <v>TBP</v>
      </c>
      <c r="AF20" s="6" t="s">
        <v>48</v>
      </c>
      <c r="AG20" s="6" t="str">
        <f t="shared" si="10"/>
        <v>TBP</v>
      </c>
      <c r="AH20" s="6" t="s">
        <v>48</v>
      </c>
      <c r="AI20" s="6" t="str">
        <f t="shared" si="11"/>
        <v>TBP</v>
      </c>
      <c r="AJ20" s="6" t="s">
        <v>48</v>
      </c>
      <c r="AK20" s="6" t="str">
        <f t="shared" si="12"/>
        <v>TBP</v>
      </c>
      <c r="AL20" s="15" t="s">
        <v>48</v>
      </c>
      <c r="AM20" s="6" t="str">
        <f t="shared" si="13"/>
        <v>TBP</v>
      </c>
      <c r="AN20" s="6" t="s">
        <v>48</v>
      </c>
      <c r="AO20" s="6" t="str">
        <f t="shared" si="14"/>
        <v>TBP</v>
      </c>
      <c r="AP20" s="6" t="s">
        <v>48</v>
      </c>
      <c r="AQ20" s="6" t="str">
        <f t="shared" si="15"/>
        <v>TBP</v>
      </c>
      <c r="AR20" s="6" t="s">
        <v>48</v>
      </c>
      <c r="AS20" s="2" t="str">
        <f t="shared" si="16"/>
        <v>No Match</v>
      </c>
      <c r="AT20" s="19" t="s">
        <v>48</v>
      </c>
      <c r="AU20" s="6" t="str">
        <f t="shared" si="17"/>
        <v>TBP</v>
      </c>
      <c r="AV20" s="18" t="s">
        <v>48</v>
      </c>
      <c r="AW20" s="6" t="str">
        <f t="shared" si="18"/>
        <v>TBP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1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/>
      <c r="L21" s="6" t="s">
        <v>142</v>
      </c>
      <c r="M21" s="1" t="str">
        <f t="shared" si="0"/>
        <v>TBP</v>
      </c>
      <c r="N21" s="1" t="s">
        <v>142</v>
      </c>
      <c r="O21" s="1" t="str">
        <f t="shared" si="1"/>
        <v>TBP</v>
      </c>
      <c r="P21" s="6" t="s">
        <v>142</v>
      </c>
      <c r="Q21" s="1" t="str">
        <f t="shared" si="2"/>
        <v>TBP</v>
      </c>
      <c r="R21" s="6" t="s">
        <v>142</v>
      </c>
      <c r="S21" s="1" t="str">
        <f t="shared" si="3"/>
        <v>TBP</v>
      </c>
      <c r="T21" s="1" t="s">
        <v>142</v>
      </c>
      <c r="U21" s="6" t="str">
        <f t="shared" si="4"/>
        <v>TBP</v>
      </c>
      <c r="V21" s="6" t="s">
        <v>142</v>
      </c>
      <c r="W21" s="6" t="str">
        <f t="shared" si="5"/>
        <v>TBP</v>
      </c>
      <c r="X21" s="6" t="s">
        <v>142</v>
      </c>
      <c r="Y21" s="6" t="str">
        <f t="shared" si="6"/>
        <v>TBP</v>
      </c>
      <c r="Z21" s="6" t="s">
        <v>142</v>
      </c>
      <c r="AA21" s="6" t="str">
        <f t="shared" si="7"/>
        <v>TBP</v>
      </c>
      <c r="AB21" s="6" t="s">
        <v>142</v>
      </c>
      <c r="AC21" s="6" t="str">
        <f t="shared" si="8"/>
        <v>TBP</v>
      </c>
      <c r="AD21" s="6" t="s">
        <v>142</v>
      </c>
      <c r="AE21" s="6" t="str">
        <f t="shared" si="9"/>
        <v>TBP</v>
      </c>
      <c r="AF21" s="6" t="s">
        <v>142</v>
      </c>
      <c r="AG21" s="6" t="str">
        <f t="shared" si="10"/>
        <v>TBP</v>
      </c>
      <c r="AH21" s="6" t="s">
        <v>142</v>
      </c>
      <c r="AI21" s="6" t="str">
        <f t="shared" si="11"/>
        <v>TBP</v>
      </c>
      <c r="AJ21" s="6" t="s">
        <v>59</v>
      </c>
      <c r="AK21" s="6" t="str">
        <f t="shared" si="12"/>
        <v>TBP</v>
      </c>
      <c r="AL21" s="15" t="s">
        <v>142</v>
      </c>
      <c r="AM21" s="6" t="str">
        <f t="shared" si="13"/>
        <v>TBP</v>
      </c>
      <c r="AN21" s="6" t="s">
        <v>142</v>
      </c>
      <c r="AO21" s="6" t="str">
        <f t="shared" si="14"/>
        <v>TBP</v>
      </c>
      <c r="AP21" s="6" t="s">
        <v>142</v>
      </c>
      <c r="AQ21" s="6" t="str">
        <f t="shared" si="15"/>
        <v>TBP</v>
      </c>
      <c r="AR21" s="6" t="s">
        <v>142</v>
      </c>
      <c r="AS21" s="2" t="str">
        <f t="shared" si="16"/>
        <v>No Match</v>
      </c>
      <c r="AT21" s="19" t="s">
        <v>142</v>
      </c>
      <c r="AU21" s="6" t="str">
        <f t="shared" si="17"/>
        <v>TBP</v>
      </c>
      <c r="AV21" s="18" t="s">
        <v>142</v>
      </c>
      <c r="AW21" s="6" t="str">
        <f t="shared" si="18"/>
        <v>TBP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1">
        <v>46191</v>
      </c>
      <c r="F22" s="14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/>
      <c r="L22" s="6" t="s">
        <v>74</v>
      </c>
      <c r="M22" s="1" t="str">
        <f t="shared" si="0"/>
        <v>TBP</v>
      </c>
      <c r="N22" s="1" t="s">
        <v>74</v>
      </c>
      <c r="O22" s="1" t="str">
        <f t="shared" si="1"/>
        <v>TBP</v>
      </c>
      <c r="P22" s="6" t="s">
        <v>74</v>
      </c>
      <c r="Q22" s="1" t="str">
        <f t="shared" si="2"/>
        <v>TBP</v>
      </c>
      <c r="R22" s="1" t="s">
        <v>74</v>
      </c>
      <c r="S22" s="1" t="str">
        <f t="shared" si="3"/>
        <v>TBP</v>
      </c>
      <c r="T22" s="1" t="s">
        <v>74</v>
      </c>
      <c r="U22" s="6" t="str">
        <f t="shared" si="4"/>
        <v>TBP</v>
      </c>
      <c r="V22" s="6" t="s">
        <v>74</v>
      </c>
      <c r="W22" s="6" t="str">
        <f t="shared" si="5"/>
        <v>TBP</v>
      </c>
      <c r="X22" s="6" t="s">
        <v>74</v>
      </c>
      <c r="Y22" s="6" t="str">
        <f t="shared" si="6"/>
        <v>TBP</v>
      </c>
      <c r="Z22" s="6" t="s">
        <v>74</v>
      </c>
      <c r="AA22" s="6" t="str">
        <f t="shared" si="7"/>
        <v>TBP</v>
      </c>
      <c r="AB22" s="6" t="s">
        <v>147</v>
      </c>
      <c r="AC22" s="6" t="str">
        <f t="shared" si="8"/>
        <v>TBP</v>
      </c>
      <c r="AD22" s="6" t="s">
        <v>147</v>
      </c>
      <c r="AE22" s="6" t="str">
        <f t="shared" si="9"/>
        <v>TBP</v>
      </c>
      <c r="AF22" s="6" t="s">
        <v>74</v>
      </c>
      <c r="AG22" s="6" t="str">
        <f t="shared" si="10"/>
        <v>TBP</v>
      </c>
      <c r="AH22" s="6" t="s">
        <v>74</v>
      </c>
      <c r="AI22" s="6" t="str">
        <f t="shared" si="11"/>
        <v>TBP</v>
      </c>
      <c r="AJ22" s="6" t="s">
        <v>74</v>
      </c>
      <c r="AK22" s="6" t="str">
        <f t="shared" si="12"/>
        <v>TBP</v>
      </c>
      <c r="AL22" s="15" t="s">
        <v>74</v>
      </c>
      <c r="AM22" s="6" t="str">
        <f t="shared" si="13"/>
        <v>TBP</v>
      </c>
      <c r="AN22" s="6" t="s">
        <v>74</v>
      </c>
      <c r="AO22" s="6" t="str">
        <f t="shared" si="14"/>
        <v>TBP</v>
      </c>
      <c r="AP22" s="6" t="s">
        <v>74</v>
      </c>
      <c r="AQ22" s="6" t="str">
        <f t="shared" si="15"/>
        <v>TBP</v>
      </c>
      <c r="AR22" s="6" t="s">
        <v>74</v>
      </c>
      <c r="AS22" s="2" t="str">
        <f t="shared" si="16"/>
        <v>No Match</v>
      </c>
      <c r="AT22" s="19" t="s">
        <v>74</v>
      </c>
      <c r="AU22" s="6" t="str">
        <f t="shared" si="17"/>
        <v>TBP</v>
      </c>
      <c r="AV22" s="18" t="s">
        <v>74</v>
      </c>
      <c r="AW22" s="6" t="str">
        <f t="shared" si="18"/>
        <v>TBP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1">
        <v>46191</v>
      </c>
      <c r="F23" s="14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/>
      <c r="L23" s="6" t="s">
        <v>59</v>
      </c>
      <c r="M23" s="1" t="str">
        <f t="shared" si="0"/>
        <v>TBP</v>
      </c>
      <c r="N23" s="6" t="s">
        <v>59</v>
      </c>
      <c r="O23" s="1" t="str">
        <f t="shared" si="1"/>
        <v>TBP</v>
      </c>
      <c r="P23" s="6" t="s">
        <v>106</v>
      </c>
      <c r="Q23" s="1" t="str">
        <f t="shared" si="2"/>
        <v>TBP</v>
      </c>
      <c r="R23" s="6" t="s">
        <v>67</v>
      </c>
      <c r="S23" s="1" t="str">
        <f t="shared" si="3"/>
        <v>TBP</v>
      </c>
      <c r="T23" s="1" t="s">
        <v>106</v>
      </c>
      <c r="U23" s="6" t="str">
        <f t="shared" si="4"/>
        <v>TBP</v>
      </c>
      <c r="V23" s="6" t="s">
        <v>67</v>
      </c>
      <c r="W23" s="6" t="str">
        <f t="shared" si="5"/>
        <v>TBP</v>
      </c>
      <c r="X23" s="6" t="s">
        <v>67</v>
      </c>
      <c r="Y23" s="6" t="str">
        <f t="shared" si="6"/>
        <v>TBP</v>
      </c>
      <c r="Z23" s="6" t="s">
        <v>67</v>
      </c>
      <c r="AA23" s="6" t="str">
        <f t="shared" si="7"/>
        <v>TBP</v>
      </c>
      <c r="AB23" s="6" t="s">
        <v>67</v>
      </c>
      <c r="AC23" s="6" t="str">
        <f t="shared" si="8"/>
        <v>TBP</v>
      </c>
      <c r="AD23" s="6" t="s">
        <v>67</v>
      </c>
      <c r="AE23" s="6" t="str">
        <f t="shared" si="9"/>
        <v>TBP</v>
      </c>
      <c r="AF23" s="6" t="s">
        <v>67</v>
      </c>
      <c r="AG23" s="6" t="str">
        <f t="shared" si="10"/>
        <v>TBP</v>
      </c>
      <c r="AH23" s="6" t="s">
        <v>67</v>
      </c>
      <c r="AI23" s="6" t="str">
        <f t="shared" si="11"/>
        <v>TBP</v>
      </c>
      <c r="AJ23" s="15" t="s">
        <v>67</v>
      </c>
      <c r="AK23" s="6" t="str">
        <f t="shared" si="12"/>
        <v>TBP</v>
      </c>
      <c r="AL23" s="15" t="s">
        <v>67</v>
      </c>
      <c r="AM23" s="6" t="str">
        <f t="shared" si="13"/>
        <v>TBP</v>
      </c>
      <c r="AN23" s="6" t="s">
        <v>67</v>
      </c>
      <c r="AO23" s="6" t="str">
        <f t="shared" si="14"/>
        <v>TBP</v>
      </c>
      <c r="AP23" s="6" t="s">
        <v>106</v>
      </c>
      <c r="AQ23" s="6" t="str">
        <f t="shared" si="15"/>
        <v>TBP</v>
      </c>
      <c r="AR23" s="6" t="s">
        <v>67</v>
      </c>
      <c r="AS23" s="2" t="str">
        <f t="shared" si="16"/>
        <v>No Match</v>
      </c>
      <c r="AT23" s="19" t="s">
        <v>67</v>
      </c>
      <c r="AU23" s="6" t="str">
        <f t="shared" si="17"/>
        <v>TBP</v>
      </c>
      <c r="AV23" s="18" t="s">
        <v>67</v>
      </c>
      <c r="AW23" s="6" t="str">
        <f t="shared" si="18"/>
        <v>TBP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1">
        <v>46191</v>
      </c>
      <c r="F24" s="14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5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2" t="str">
        <f t="shared" si="16"/>
        <v>No Match</v>
      </c>
      <c r="AT24" s="19" t="s">
        <v>151</v>
      </c>
      <c r="AU24" s="6" t="str">
        <f t="shared" si="17"/>
        <v>TBP</v>
      </c>
      <c r="AV24" s="18" t="s">
        <v>152</v>
      </c>
      <c r="AW24" s="6" t="str">
        <f t="shared" si="18"/>
        <v>TBP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1">
        <v>46191</v>
      </c>
      <c r="F25" s="14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5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2" t="str">
        <f t="shared" si="16"/>
        <v>No Match</v>
      </c>
      <c r="AT25" s="19" t="s">
        <v>111</v>
      </c>
      <c r="AU25" s="6" t="str">
        <f t="shared" si="17"/>
        <v>TBP</v>
      </c>
      <c r="AV25" s="18" t="s">
        <v>111</v>
      </c>
      <c r="AW25" s="6" t="str">
        <f t="shared" si="18"/>
        <v>TBP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1">
        <v>46192</v>
      </c>
      <c r="F26" s="14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6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7" t="s">
        <v>57</v>
      </c>
      <c r="AC26" s="6" t="str">
        <f t="shared" si="8"/>
        <v>TBP</v>
      </c>
      <c r="AD26" s="17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5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2" t="str">
        <f t="shared" si="16"/>
        <v>No Match</v>
      </c>
      <c r="AT26" s="19" t="s">
        <v>57</v>
      </c>
      <c r="AU26" s="6" t="str">
        <f t="shared" si="17"/>
        <v>TBP</v>
      </c>
      <c r="AV26" s="18" t="s">
        <v>57</v>
      </c>
      <c r="AW26" s="6" t="str">
        <f t="shared" si="18"/>
        <v>TBP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1">
        <v>46192</v>
      </c>
      <c r="F27" s="14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6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6" t="s">
        <v>77</v>
      </c>
      <c r="AK27" s="6" t="str">
        <f t="shared" si="12"/>
        <v>TBP</v>
      </c>
      <c r="AL27" s="15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2" t="str">
        <f t="shared" si="16"/>
        <v>No Match</v>
      </c>
      <c r="AT27" s="19" t="s">
        <v>77</v>
      </c>
      <c r="AU27" s="6" t="str">
        <f t="shared" si="17"/>
        <v>TBP</v>
      </c>
      <c r="AV27" s="18" t="s">
        <v>77</v>
      </c>
      <c r="AW27" s="6" t="str">
        <f t="shared" si="18"/>
        <v>TBP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1">
        <v>46192</v>
      </c>
      <c r="F28" s="14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6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6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5" t="s">
        <v>64</v>
      </c>
      <c r="AK28" s="6" t="str">
        <f t="shared" si="12"/>
        <v>TBP</v>
      </c>
      <c r="AL28" s="15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2" t="str">
        <f t="shared" si="16"/>
        <v>No Match</v>
      </c>
      <c r="AT28" s="19" t="s">
        <v>64</v>
      </c>
      <c r="AU28" s="6" t="str">
        <f t="shared" si="17"/>
        <v>TBP</v>
      </c>
      <c r="AV28" s="18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1">
        <v>46192</v>
      </c>
      <c r="F29" s="14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6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5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2" t="str">
        <f t="shared" si="16"/>
        <v>No Match</v>
      </c>
      <c r="AT29" s="19" t="s">
        <v>51</v>
      </c>
      <c r="AU29" s="6" t="str">
        <f t="shared" si="17"/>
        <v>TBP</v>
      </c>
      <c r="AV29" s="18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1">
        <v>46193</v>
      </c>
      <c r="F30" s="14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6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5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2" t="str">
        <f t="shared" si="16"/>
        <v>No Match</v>
      </c>
      <c r="AT30" s="19" t="s">
        <v>71</v>
      </c>
      <c r="AU30" s="6" t="str">
        <f t="shared" si="17"/>
        <v>TBP</v>
      </c>
      <c r="AV30" s="18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1">
        <v>46193</v>
      </c>
      <c r="F31" s="14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5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2" t="str">
        <f t="shared" si="16"/>
        <v>No Match</v>
      </c>
      <c r="AT31" s="19" t="s">
        <v>83</v>
      </c>
      <c r="AU31" s="6" t="str">
        <f t="shared" si="17"/>
        <v>TBP</v>
      </c>
      <c r="AV31" s="18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1">
        <v>46193</v>
      </c>
      <c r="F32" s="14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6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5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2" t="str">
        <f t="shared" si="16"/>
        <v>No Match</v>
      </c>
      <c r="AT32" s="19" t="s">
        <v>79</v>
      </c>
      <c r="AU32" s="6" t="str">
        <f t="shared" si="17"/>
        <v>TBP</v>
      </c>
      <c r="AV32" s="18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1">
        <v>46193</v>
      </c>
      <c r="F33" s="14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6" t="s">
        <v>93</v>
      </c>
      <c r="Y33" s="6" t="str">
        <f t="shared" si="6"/>
        <v>TBP</v>
      </c>
      <c r="Z33" s="9" t="s">
        <v>93</v>
      </c>
      <c r="AA33" s="6" t="str">
        <f t="shared" si="7"/>
        <v>TBP</v>
      </c>
      <c r="AB33" s="17" t="s">
        <v>93</v>
      </c>
      <c r="AC33" s="6" t="str">
        <f t="shared" si="8"/>
        <v>TBP</v>
      </c>
      <c r="AD33" s="17" t="s">
        <v>93</v>
      </c>
      <c r="AE33" s="6" t="str">
        <f t="shared" si="9"/>
        <v>TBP</v>
      </c>
      <c r="AF33" s="17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6" t="s">
        <v>93</v>
      </c>
      <c r="AK33" s="6" t="str">
        <f t="shared" si="12"/>
        <v>TBP</v>
      </c>
      <c r="AL33" s="15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2" t="str">
        <f t="shared" si="16"/>
        <v>No Match</v>
      </c>
      <c r="AT33" s="19" t="s">
        <v>93</v>
      </c>
      <c r="AU33" s="6" t="str">
        <f t="shared" si="17"/>
        <v>TBP</v>
      </c>
      <c r="AV33" s="18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1">
        <v>46194</v>
      </c>
      <c r="F34" s="14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6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6" t="s">
        <v>89</v>
      </c>
      <c r="AK34" s="6" t="str">
        <f t="shared" si="12"/>
        <v>TBP</v>
      </c>
      <c r="AL34" s="15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2" t="str">
        <f t="shared" si="16"/>
        <v>No Match</v>
      </c>
      <c r="AT34" s="19" t="s">
        <v>89</v>
      </c>
      <c r="AU34" s="6" t="str">
        <f t="shared" si="17"/>
        <v>TBP</v>
      </c>
      <c r="AV34" s="18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1">
        <v>46194</v>
      </c>
      <c r="F35" s="14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6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6" t="s">
        <v>99</v>
      </c>
      <c r="AK35" s="6" t="str">
        <f t="shared" si="12"/>
        <v>TBP</v>
      </c>
      <c r="AL35" s="15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2" t="str">
        <f t="shared" si="16"/>
        <v>No Match</v>
      </c>
      <c r="AT35" s="19" t="s">
        <v>99</v>
      </c>
      <c r="AU35" s="6" t="str">
        <f t="shared" si="17"/>
        <v>TBP</v>
      </c>
      <c r="AV35" s="18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1">
        <v>46194</v>
      </c>
      <c r="F36" s="14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6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7" t="s">
        <v>109</v>
      </c>
      <c r="AC36" s="6" t="str">
        <f t="shared" si="8"/>
        <v>TBP</v>
      </c>
      <c r="AD36" s="17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6" t="s">
        <v>109</v>
      </c>
      <c r="AK36" s="6" t="str">
        <f t="shared" si="12"/>
        <v>TBP</v>
      </c>
      <c r="AL36" s="15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2" t="str">
        <f t="shared" si="16"/>
        <v>No Match</v>
      </c>
      <c r="AT36" s="19" t="s">
        <v>109</v>
      </c>
      <c r="AU36" s="6" t="str">
        <f t="shared" si="17"/>
        <v>TBP</v>
      </c>
      <c r="AV36" s="18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1">
        <v>46194</v>
      </c>
      <c r="F37" s="14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6" t="s">
        <v>104</v>
      </c>
      <c r="AK37" s="6" t="str">
        <f t="shared" si="12"/>
        <v>TBP</v>
      </c>
      <c r="AL37" s="15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2" t="str">
        <f t="shared" si="16"/>
        <v>No Match</v>
      </c>
      <c r="AT37" s="19" t="s">
        <v>104</v>
      </c>
      <c r="AU37" s="6" t="str">
        <f t="shared" si="17"/>
        <v>TBP</v>
      </c>
      <c r="AV37" s="18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1">
        <v>46195</v>
      </c>
      <c r="F38" s="14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6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6" t="s">
        <v>54</v>
      </c>
      <c r="AK38" s="6" t="str">
        <f t="shared" si="12"/>
        <v>TBP</v>
      </c>
      <c r="AL38" s="15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2" t="str">
        <f t="shared" si="16"/>
        <v>No Match</v>
      </c>
      <c r="AT38" s="19" t="s">
        <v>54</v>
      </c>
      <c r="AU38" s="6" t="str">
        <f t="shared" si="17"/>
        <v>TBP</v>
      </c>
      <c r="AV38" s="18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1">
        <v>46195</v>
      </c>
      <c r="F39" s="14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6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5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2" t="str">
        <f t="shared" si="16"/>
        <v>No Match</v>
      </c>
      <c r="AT39" s="19" t="s">
        <v>96</v>
      </c>
      <c r="AU39" s="6" t="str">
        <f t="shared" si="17"/>
        <v>TBP</v>
      </c>
      <c r="AV39" s="18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1">
        <v>46195</v>
      </c>
      <c r="F40" s="14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6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5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2" t="str">
        <f t="shared" si="16"/>
        <v>No Match</v>
      </c>
      <c r="AT40" s="19" t="s">
        <v>127</v>
      </c>
      <c r="AU40" s="6" t="str">
        <f t="shared" si="17"/>
        <v>TBP</v>
      </c>
      <c r="AV40" s="18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1">
        <v>46195</v>
      </c>
      <c r="F41" s="14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6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6" t="s">
        <v>123</v>
      </c>
      <c r="AK41" s="6" t="str">
        <f t="shared" si="12"/>
        <v>TBP</v>
      </c>
      <c r="AL41" s="15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2" t="str">
        <f t="shared" si="16"/>
        <v>No Match</v>
      </c>
      <c r="AT41" s="19" t="s">
        <v>123</v>
      </c>
      <c r="AU41" s="6" t="str">
        <f t="shared" si="17"/>
        <v>TBP</v>
      </c>
      <c r="AV41" s="18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1">
        <v>46196</v>
      </c>
      <c r="F42" s="14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6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5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2" t="str">
        <f t="shared" si="16"/>
        <v>No Match</v>
      </c>
      <c r="AT42" s="19" t="s">
        <v>48</v>
      </c>
      <c r="AU42" s="6" t="str">
        <f t="shared" si="17"/>
        <v>TBP</v>
      </c>
      <c r="AV42" s="18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1">
        <v>46196</v>
      </c>
      <c r="F43" s="14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6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6" t="s">
        <v>60</v>
      </c>
      <c r="AK43" s="6" t="str">
        <f t="shared" si="12"/>
        <v>TBP</v>
      </c>
      <c r="AL43" s="15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2" t="str">
        <f t="shared" si="16"/>
        <v>No Match</v>
      </c>
      <c r="AT43" s="19" t="s">
        <v>60</v>
      </c>
      <c r="AU43" s="6" t="str">
        <f t="shared" si="17"/>
        <v>TBP</v>
      </c>
      <c r="AV43" s="18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1">
        <v>46196</v>
      </c>
      <c r="F44" s="14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6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5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2" t="str">
        <f t="shared" si="16"/>
        <v>No Match</v>
      </c>
      <c r="AT44" s="19" t="s">
        <v>120</v>
      </c>
      <c r="AU44" s="6" t="str">
        <f t="shared" si="17"/>
        <v>TBP</v>
      </c>
      <c r="AV44" s="18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1">
        <v>46196</v>
      </c>
      <c r="F45" s="14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6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5" t="s">
        <v>139</v>
      </c>
      <c r="AK45" s="6" t="str">
        <f t="shared" si="12"/>
        <v>TBP</v>
      </c>
      <c r="AL45" s="15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2" t="str">
        <f t="shared" si="16"/>
        <v>No Match</v>
      </c>
      <c r="AT45" s="19" t="s">
        <v>139</v>
      </c>
      <c r="AU45" s="6" t="str">
        <f t="shared" si="17"/>
        <v>TBP</v>
      </c>
      <c r="AV45" s="18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1">
        <v>46197</v>
      </c>
      <c r="F46" s="14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6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F46" s="6"/>
      <c r="AG46" s="6" t="str">
        <f t="shared" si="10"/>
        <v>TBP</v>
      </c>
      <c r="AH46" s="6" t="s">
        <v>74</v>
      </c>
      <c r="AI46" s="6" t="str">
        <f t="shared" si="11"/>
        <v>TBP</v>
      </c>
      <c r="AJ46" s="15" t="s">
        <v>74</v>
      </c>
      <c r="AK46" s="6" t="str">
        <f t="shared" si="12"/>
        <v>TBP</v>
      </c>
      <c r="AL46" s="15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2" t="str">
        <f t="shared" si="16"/>
        <v>No Match</v>
      </c>
      <c r="AT46" s="19" t="s">
        <v>74</v>
      </c>
      <c r="AU46" s="6" t="str">
        <f t="shared" si="17"/>
        <v>TBP</v>
      </c>
      <c r="AV46" s="18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1">
        <v>46197</v>
      </c>
      <c r="F47" s="14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6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F47" s="6"/>
      <c r="AG47" s="6" t="str">
        <f t="shared" si="10"/>
        <v>TBP</v>
      </c>
      <c r="AH47" s="6" t="s">
        <v>67</v>
      </c>
      <c r="AI47" s="6" t="str">
        <f t="shared" si="11"/>
        <v>TBP</v>
      </c>
      <c r="AJ47" s="15" t="s">
        <v>67</v>
      </c>
      <c r="AK47" s="6" t="str">
        <f t="shared" si="12"/>
        <v>TBP</v>
      </c>
      <c r="AL47" s="15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2" t="str">
        <f t="shared" si="16"/>
        <v>No Match</v>
      </c>
      <c r="AT47" s="19" t="s">
        <v>67</v>
      </c>
      <c r="AU47" s="6" t="str">
        <f t="shared" si="17"/>
        <v>TBP</v>
      </c>
      <c r="AV47" s="18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1">
        <v>46197</v>
      </c>
      <c r="F48" s="14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F48" s="6"/>
      <c r="AG48" s="6" t="str">
        <f t="shared" si="10"/>
        <v>TBP</v>
      </c>
      <c r="AH48" s="6" t="s">
        <v>106</v>
      </c>
      <c r="AI48" s="6" t="str">
        <f t="shared" si="11"/>
        <v>TBP</v>
      </c>
      <c r="AJ48" s="15" t="s">
        <v>106</v>
      </c>
      <c r="AK48" s="6" t="str">
        <f t="shared" si="12"/>
        <v>TBP</v>
      </c>
      <c r="AL48" s="15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2" t="str">
        <f t="shared" si="16"/>
        <v>No Match</v>
      </c>
      <c r="AT48" s="19" t="s">
        <v>106</v>
      </c>
      <c r="AU48" s="6" t="str">
        <f t="shared" si="17"/>
        <v>TBP</v>
      </c>
      <c r="AV48" s="18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1">
        <v>46197</v>
      </c>
      <c r="F49" s="14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F49" s="6"/>
      <c r="AG49" s="6" t="str">
        <f t="shared" si="10"/>
        <v>TBP</v>
      </c>
      <c r="AH49" s="6" t="s">
        <v>183</v>
      </c>
      <c r="AI49" s="6" t="str">
        <f t="shared" si="11"/>
        <v>TBP</v>
      </c>
      <c r="AJ49" s="16" t="s">
        <v>111</v>
      </c>
      <c r="AK49" s="6" t="str">
        <f t="shared" si="12"/>
        <v>TBP</v>
      </c>
      <c r="AL49" s="15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2" t="str">
        <f t="shared" si="16"/>
        <v>No Match</v>
      </c>
      <c r="AT49" s="19" t="s">
        <v>111</v>
      </c>
      <c r="AU49" s="6" t="str">
        <f t="shared" si="17"/>
        <v>TBP</v>
      </c>
      <c r="AV49" s="18" t="s">
        <v>111</v>
      </c>
      <c r="AW49" s="6" t="str">
        <f t="shared" si="18"/>
        <v>TBP</v>
      </c>
    </row>
    <row r="50" spans="1:49" x14ac:dyDescent="0.35">
      <c r="A50" s="6"/>
      <c r="B50" s="6"/>
      <c r="C50" s="1" t="s">
        <v>61</v>
      </c>
      <c r="D50" s="1" t="s">
        <v>184</v>
      </c>
      <c r="E50" s="11">
        <v>46198</v>
      </c>
      <c r="F50" s="14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6" t="s">
        <v>64</v>
      </c>
      <c r="W50" s="6" t="str">
        <f t="shared" si="5"/>
        <v>TBP</v>
      </c>
      <c r="X50" s="16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F50" s="6"/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5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2" t="str">
        <f t="shared" si="16"/>
        <v>No Match</v>
      </c>
      <c r="AT50" s="19" t="s">
        <v>77</v>
      </c>
      <c r="AU50" s="6" t="str">
        <f t="shared" si="17"/>
        <v>TBP</v>
      </c>
      <c r="AV50" s="18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1">
        <v>46198</v>
      </c>
      <c r="F51" s="14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6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F51" s="6"/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5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2" t="str">
        <f t="shared" si="16"/>
        <v>No Match</v>
      </c>
      <c r="AT51" s="19" t="s">
        <v>65</v>
      </c>
      <c r="AU51" s="6" t="str">
        <f t="shared" si="17"/>
        <v>TBP</v>
      </c>
      <c r="AV51" s="18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1">
        <v>46198</v>
      </c>
      <c r="F52" s="14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6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F52" s="6"/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5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2" t="str">
        <f t="shared" si="16"/>
        <v>No Match</v>
      </c>
      <c r="AT52" s="19" t="s">
        <v>79</v>
      </c>
      <c r="AU52" s="6" t="str">
        <f t="shared" si="17"/>
        <v>TBP</v>
      </c>
      <c r="AV52" s="18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1">
        <v>46198</v>
      </c>
      <c r="F53" s="14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F53" s="6"/>
      <c r="AG53" s="6" t="str">
        <f t="shared" si="10"/>
        <v>TBP</v>
      </c>
      <c r="AH53" s="6" t="s">
        <v>83</v>
      </c>
      <c r="AI53" s="6" t="str">
        <f t="shared" si="11"/>
        <v>TBP</v>
      </c>
      <c r="AJ53" s="15" t="s">
        <v>83</v>
      </c>
      <c r="AK53" s="6" t="str">
        <f t="shared" si="12"/>
        <v>TBP</v>
      </c>
      <c r="AL53" s="15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2" t="str">
        <f t="shared" si="16"/>
        <v>No Match</v>
      </c>
      <c r="AT53" s="19" t="s">
        <v>83</v>
      </c>
      <c r="AU53" s="6" t="str">
        <f t="shared" si="17"/>
        <v>TBP</v>
      </c>
      <c r="AV53" s="18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1">
        <v>46199</v>
      </c>
      <c r="F54" s="14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F54" s="6"/>
      <c r="AG54" s="6" t="str">
        <f t="shared" si="10"/>
        <v>TBP</v>
      </c>
      <c r="AH54" s="6" t="s">
        <v>51</v>
      </c>
      <c r="AI54" s="6" t="str">
        <f t="shared" si="11"/>
        <v>TBP</v>
      </c>
      <c r="AJ54" s="15" t="s">
        <v>51</v>
      </c>
      <c r="AK54" s="6" t="str">
        <f t="shared" si="12"/>
        <v>TBP</v>
      </c>
      <c r="AL54" s="15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2" t="str">
        <f t="shared" si="16"/>
        <v>No Match</v>
      </c>
      <c r="AT54" s="19" t="s">
        <v>51</v>
      </c>
      <c r="AU54" s="6" t="str">
        <f t="shared" si="17"/>
        <v>TBP</v>
      </c>
      <c r="AV54" s="18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1">
        <v>46199</v>
      </c>
      <c r="F55" s="14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6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7" t="s">
        <v>52</v>
      </c>
      <c r="AC55" s="6" t="str">
        <f t="shared" si="8"/>
        <v>TBP</v>
      </c>
      <c r="AD55" s="17" t="s">
        <v>52</v>
      </c>
      <c r="AE55" s="6" t="str">
        <f t="shared" si="9"/>
        <v>TBP</v>
      </c>
      <c r="AF55" s="6"/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5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2" t="str">
        <f t="shared" si="16"/>
        <v>No Match</v>
      </c>
      <c r="AT55" s="19" t="s">
        <v>56</v>
      </c>
      <c r="AU55" s="6" t="str">
        <f t="shared" si="17"/>
        <v>TBP</v>
      </c>
      <c r="AV55" s="18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1">
        <v>46199</v>
      </c>
      <c r="F56" s="14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6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F56" s="6"/>
      <c r="AG56" s="6" t="str">
        <f t="shared" si="10"/>
        <v>TBP</v>
      </c>
      <c r="AH56" s="6" t="s">
        <v>59</v>
      </c>
      <c r="AI56" s="6" t="str">
        <f t="shared" si="11"/>
        <v>TBP</v>
      </c>
      <c r="AJ56" s="15" t="s">
        <v>108</v>
      </c>
      <c r="AK56" s="6" t="str">
        <f t="shared" si="12"/>
        <v>TBP</v>
      </c>
      <c r="AL56" s="15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2" t="str">
        <f t="shared" si="16"/>
        <v>No Match</v>
      </c>
      <c r="AT56" s="19" t="s">
        <v>108</v>
      </c>
      <c r="AU56" s="6" t="str">
        <f t="shared" si="17"/>
        <v>TBP</v>
      </c>
      <c r="AV56" s="18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1">
        <v>46199</v>
      </c>
      <c r="F57" s="14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6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F57" s="6"/>
      <c r="AG57" s="6" t="str">
        <f t="shared" si="10"/>
        <v>TBP</v>
      </c>
      <c r="AH57" s="6" t="s">
        <v>99</v>
      </c>
      <c r="AI57" s="6" t="str">
        <f t="shared" si="11"/>
        <v>TBP</v>
      </c>
      <c r="AJ57" s="15" t="s">
        <v>99</v>
      </c>
      <c r="AK57" s="6" t="str">
        <f t="shared" si="12"/>
        <v>TBP</v>
      </c>
      <c r="AL57" s="15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2" t="str">
        <f t="shared" si="16"/>
        <v>No Match</v>
      </c>
      <c r="AT57" s="19" t="s">
        <v>99</v>
      </c>
      <c r="AU57" s="6" t="str">
        <f t="shared" si="17"/>
        <v>TBP</v>
      </c>
      <c r="AV57" s="18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1">
        <v>46200</v>
      </c>
      <c r="F58" s="14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6" t="s">
        <v>104</v>
      </c>
      <c r="W58" s="6" t="str">
        <f t="shared" si="5"/>
        <v>TBP</v>
      </c>
      <c r="X58" s="16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F58" s="6"/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5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2" t="str">
        <f t="shared" si="16"/>
        <v>No Match</v>
      </c>
      <c r="AT58" s="19" t="s">
        <v>104</v>
      </c>
      <c r="AU58" s="6" t="str">
        <f t="shared" si="17"/>
        <v>TBP</v>
      </c>
      <c r="AV58" s="18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1">
        <v>46200</v>
      </c>
      <c r="F59" s="14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6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F59" s="6"/>
      <c r="AG59" s="6" t="str">
        <f t="shared" si="10"/>
        <v>TBP</v>
      </c>
      <c r="AH59" s="6" t="s">
        <v>89</v>
      </c>
      <c r="AI59" s="6" t="str">
        <f t="shared" si="11"/>
        <v>TBP</v>
      </c>
      <c r="AJ59" s="15" t="s">
        <v>89</v>
      </c>
      <c r="AK59" s="6" t="str">
        <f t="shared" si="12"/>
        <v>TBP</v>
      </c>
      <c r="AL59" s="15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2" t="str">
        <f t="shared" si="16"/>
        <v>No Match</v>
      </c>
      <c r="AT59" s="19" t="s">
        <v>89</v>
      </c>
      <c r="AU59" s="6" t="str">
        <f t="shared" si="17"/>
        <v>TBP</v>
      </c>
      <c r="AV59" s="18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1">
        <v>46200</v>
      </c>
      <c r="F60" s="14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6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F60" s="6"/>
      <c r="AG60" s="6" t="str">
        <f t="shared" si="10"/>
        <v>TBP</v>
      </c>
      <c r="AH60" s="6" t="s">
        <v>71</v>
      </c>
      <c r="AI60" s="6" t="str">
        <f t="shared" si="11"/>
        <v>TBP</v>
      </c>
      <c r="AJ60" s="16" t="s">
        <v>93</v>
      </c>
      <c r="AK60" s="6" t="str">
        <f t="shared" si="12"/>
        <v>TBP</v>
      </c>
      <c r="AL60" s="15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2" t="str">
        <f t="shared" si="16"/>
        <v>No Match</v>
      </c>
      <c r="AT60" s="19" t="s">
        <v>71</v>
      </c>
      <c r="AU60" s="6" t="str">
        <f t="shared" si="17"/>
        <v>TBP</v>
      </c>
      <c r="AV60" s="18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1">
        <v>46200</v>
      </c>
      <c r="F61" s="14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F61" s="6"/>
      <c r="AG61" s="6" t="str">
        <f t="shared" si="10"/>
        <v>TBP</v>
      </c>
      <c r="AH61" s="6" t="s">
        <v>92</v>
      </c>
      <c r="AI61" s="6" t="str">
        <f t="shared" si="11"/>
        <v>TBP</v>
      </c>
      <c r="AJ61" s="15" t="s">
        <v>92</v>
      </c>
      <c r="AK61" s="6" t="str">
        <f t="shared" si="12"/>
        <v>TBP</v>
      </c>
      <c r="AL61" s="15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2" t="str">
        <f t="shared" si="16"/>
        <v>No Match</v>
      </c>
      <c r="AT61" s="19" t="s">
        <v>92</v>
      </c>
      <c r="AU61" s="6" t="str">
        <f t="shared" si="17"/>
        <v>TBP</v>
      </c>
      <c r="AV61" s="18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1">
        <v>46201</v>
      </c>
      <c r="F62" s="14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F62" s="6"/>
      <c r="AG62" s="6" t="str">
        <f t="shared" si="10"/>
        <v>TBP</v>
      </c>
      <c r="AH62" s="6" t="s">
        <v>60</v>
      </c>
      <c r="AI62" s="6" t="str">
        <f t="shared" si="11"/>
        <v>TBP</v>
      </c>
      <c r="AJ62" s="15" t="s">
        <v>60</v>
      </c>
      <c r="AK62" s="6" t="str">
        <f t="shared" si="12"/>
        <v>TBP</v>
      </c>
      <c r="AL62" s="15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2" t="str">
        <f t="shared" si="16"/>
        <v>No Match</v>
      </c>
      <c r="AT62" s="19" t="s">
        <v>60</v>
      </c>
      <c r="AU62" s="6" t="str">
        <f t="shared" si="17"/>
        <v>TBP</v>
      </c>
      <c r="AV62" s="18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1">
        <v>46201</v>
      </c>
      <c r="F63" s="14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F63" s="6"/>
      <c r="AG63" s="6" t="str">
        <f t="shared" si="10"/>
        <v>TBP</v>
      </c>
      <c r="AH63" s="6" t="s">
        <v>120</v>
      </c>
      <c r="AI63" s="6" t="str">
        <f t="shared" si="11"/>
        <v>TBP</v>
      </c>
      <c r="AJ63" s="15" t="s">
        <v>120</v>
      </c>
      <c r="AK63" s="6" t="str">
        <f t="shared" si="12"/>
        <v>TBP</v>
      </c>
      <c r="AL63" s="15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2" t="str">
        <f t="shared" si="16"/>
        <v>No Match</v>
      </c>
      <c r="AT63" s="19" t="s">
        <v>120</v>
      </c>
      <c r="AU63" s="6" t="str">
        <f t="shared" si="17"/>
        <v>TBP</v>
      </c>
      <c r="AV63" s="18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1">
        <v>46201</v>
      </c>
      <c r="F64" s="14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F64" s="6"/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5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2" t="str">
        <f t="shared" si="16"/>
        <v>No Match</v>
      </c>
      <c r="AT64" s="19" t="s">
        <v>126</v>
      </c>
      <c r="AU64" s="6" t="str">
        <f t="shared" si="17"/>
        <v>TBP</v>
      </c>
      <c r="AV64" s="18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1">
        <v>46201</v>
      </c>
      <c r="F65" s="14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F65" s="6"/>
      <c r="AG65" s="6" t="str">
        <f t="shared" si="10"/>
        <v>TBP</v>
      </c>
      <c r="AH65" s="6" t="s">
        <v>54</v>
      </c>
      <c r="AI65" s="6" t="str">
        <f t="shared" si="11"/>
        <v>TBP</v>
      </c>
      <c r="AJ65" s="15" t="s">
        <v>54</v>
      </c>
      <c r="AK65" s="6" t="str">
        <f t="shared" si="12"/>
        <v>TBP</v>
      </c>
      <c r="AL65" s="15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2" t="str">
        <f t="shared" si="16"/>
        <v>No Match</v>
      </c>
      <c r="AT65" s="19" t="s">
        <v>54</v>
      </c>
      <c r="AU65" s="6" t="str">
        <f t="shared" si="17"/>
        <v>TBP</v>
      </c>
      <c r="AV65" s="18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1">
        <v>46201</v>
      </c>
      <c r="F66" s="14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6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F66" s="6"/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5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2" t="str">
        <f t="shared" si="16"/>
        <v>No Match</v>
      </c>
      <c r="AT66" s="19" t="s">
        <v>123</v>
      </c>
      <c r="AU66" s="6" t="str">
        <f t="shared" si="17"/>
        <v>TBP</v>
      </c>
      <c r="AV66" s="18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1">
        <v>46201</v>
      </c>
      <c r="F67" s="14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6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F67" s="6"/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5" t="s">
        <v>96</v>
      </c>
      <c r="AK67" s="6" t="str">
        <f t="shared" ref="AK67:AK73" si="31">IF(ISBLANK(K67),"TBP",IF(AJ67=K67,"Matched","No Match"))</f>
        <v>TBP</v>
      </c>
      <c r="AL67" s="15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2" t="str">
        <f t="shared" ref="AS67:AS73" si="35">IF(ISBLANK(G67),"TBP",IF(AR67=K67,"Matched","No Match"))</f>
        <v>No Match</v>
      </c>
      <c r="AT67" s="19" t="s">
        <v>96</v>
      </c>
      <c r="AU67" s="6" t="str">
        <f t="shared" ref="AU67:AU73" si="36">IF(ISBLANK(K67),"TBP",IF(AT67=K67,"Matched","No Match"))</f>
        <v>TBP</v>
      </c>
      <c r="AV67" s="18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1">
        <v>46201</v>
      </c>
      <c r="F68" s="14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6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F68" s="6"/>
      <c r="AG68" s="6" t="str">
        <f t="shared" si="29"/>
        <v>TBP</v>
      </c>
      <c r="AH68" s="6" t="s">
        <v>67</v>
      </c>
      <c r="AI68" s="6" t="str">
        <f t="shared" si="30"/>
        <v>TBP</v>
      </c>
      <c r="AJ68" s="15" t="s">
        <v>67</v>
      </c>
      <c r="AK68" s="6" t="str">
        <f t="shared" si="31"/>
        <v>TBP</v>
      </c>
      <c r="AL68" s="15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2" t="str">
        <f t="shared" si="35"/>
        <v>No Match</v>
      </c>
      <c r="AT68" s="19" t="s">
        <v>67</v>
      </c>
      <c r="AU68" s="6" t="str">
        <f t="shared" si="36"/>
        <v>TBP</v>
      </c>
      <c r="AV68" s="18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1">
        <v>46201</v>
      </c>
      <c r="F69" s="14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6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F69" s="6"/>
      <c r="AG69" s="6" t="str">
        <f t="shared" si="29"/>
        <v>TBP</v>
      </c>
      <c r="AH69" s="6" t="s">
        <v>106</v>
      </c>
      <c r="AI69" s="6" t="str">
        <f t="shared" si="30"/>
        <v>TBP</v>
      </c>
      <c r="AJ69" s="15" t="s">
        <v>106</v>
      </c>
      <c r="AK69" s="6" t="str">
        <f t="shared" si="31"/>
        <v>TBP</v>
      </c>
      <c r="AL69" s="15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2" t="str">
        <f t="shared" si="35"/>
        <v>No Match</v>
      </c>
      <c r="AT69" s="19" t="s">
        <v>106</v>
      </c>
      <c r="AU69" s="6" t="str">
        <f t="shared" si="36"/>
        <v>TBP</v>
      </c>
      <c r="AV69" s="18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1">
        <v>46201</v>
      </c>
      <c r="F70" s="14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6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F70" s="6"/>
      <c r="AG70" s="6" t="str">
        <f t="shared" si="29"/>
        <v>TBP</v>
      </c>
      <c r="AH70" s="6" t="s">
        <v>74</v>
      </c>
      <c r="AI70" s="6" t="str">
        <f t="shared" si="30"/>
        <v>TBP</v>
      </c>
      <c r="AJ70" s="15" t="s">
        <v>74</v>
      </c>
      <c r="AK70" s="6" t="str">
        <f t="shared" si="31"/>
        <v>TBP</v>
      </c>
      <c r="AL70" s="15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2" t="str">
        <f t="shared" si="35"/>
        <v>No Match</v>
      </c>
      <c r="AT70" s="19" t="s">
        <v>74</v>
      </c>
      <c r="AU70" s="6" t="str">
        <f t="shared" si="36"/>
        <v>TBP</v>
      </c>
      <c r="AV70" s="18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1">
        <v>46201</v>
      </c>
      <c r="F71" s="14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6" t="s">
        <v>154</v>
      </c>
      <c r="W71" s="6" t="str">
        <f t="shared" si="24"/>
        <v>TBP</v>
      </c>
      <c r="X71" s="16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F71" s="6"/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5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2" t="str">
        <f t="shared" si="35"/>
        <v>No Match</v>
      </c>
      <c r="AT71" s="19" t="s">
        <v>59</v>
      </c>
      <c r="AU71" s="6" t="str">
        <f t="shared" si="36"/>
        <v>TBP</v>
      </c>
      <c r="AV71" s="18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1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6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F72" s="6"/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5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2" t="str">
        <f t="shared" si="35"/>
        <v>No Match</v>
      </c>
      <c r="AT72" s="19" t="s">
        <v>142</v>
      </c>
      <c r="AU72" s="6" t="str">
        <f t="shared" si="36"/>
        <v>TBP</v>
      </c>
      <c r="AV72" s="18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1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6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F73" s="6"/>
      <c r="AG73" s="6" t="str">
        <f t="shared" si="29"/>
        <v>TBP</v>
      </c>
      <c r="AH73" s="6" t="s">
        <v>48</v>
      </c>
      <c r="AI73" s="6" t="str">
        <f t="shared" si="30"/>
        <v>TBP</v>
      </c>
      <c r="AJ73" s="15" t="s">
        <v>48</v>
      </c>
      <c r="AK73" s="6" t="str">
        <f t="shared" si="31"/>
        <v>TBP</v>
      </c>
      <c r="AL73" s="15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2" t="str">
        <f t="shared" si="35"/>
        <v>No Match</v>
      </c>
      <c r="AT73" s="19" t="s">
        <v>48</v>
      </c>
      <c r="AU73" s="6" t="str">
        <f t="shared" si="36"/>
        <v>TBP</v>
      </c>
      <c r="AV73" s="18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2"/>
      <c r="F74" s="4"/>
      <c r="G74" s="4"/>
      <c r="H74" s="4"/>
      <c r="I74" s="4"/>
      <c r="J74" s="4"/>
      <c r="K74" s="4"/>
      <c r="L74" s="1"/>
      <c r="M74" s="5">
        <f>COUNTIF(M2:M73, "Matched")</f>
        <v>2</v>
      </c>
      <c r="N74" s="1"/>
      <c r="O74" s="5">
        <f>COUNTIF(O2:O73, "Matched")</f>
        <v>6</v>
      </c>
      <c r="P74" s="1"/>
      <c r="Q74" s="5">
        <f>COUNTIF(Q2:Q73, "Matched")</f>
        <v>5</v>
      </c>
      <c r="R74" s="1"/>
      <c r="S74" s="5">
        <f>COUNTIF(S2:S73, "Matched")</f>
        <v>5</v>
      </c>
      <c r="T74" s="1"/>
      <c r="U74" s="5">
        <f>COUNTIF(U2:U73, "Matched")</f>
        <v>3</v>
      </c>
      <c r="V74" s="1"/>
      <c r="W74" s="5">
        <f>COUNTIF(W2:W73, "Matched")</f>
        <v>5</v>
      </c>
      <c r="X74" s="1"/>
      <c r="Y74" s="5">
        <f>COUNTIF(Y2:Y73, "Matched")</f>
        <v>5</v>
      </c>
      <c r="Z74" s="1"/>
      <c r="AA74" s="5">
        <f>COUNTIF(AA2:AA73, "Matched")</f>
        <v>5</v>
      </c>
      <c r="AB74" s="1"/>
      <c r="AC74" s="5">
        <f>COUNTIF(AC2:AC73, "Matched")</f>
        <v>5</v>
      </c>
      <c r="AD74" s="1"/>
      <c r="AE74" s="5">
        <f>COUNTIF(AE2:AE73, "Matched")</f>
        <v>4</v>
      </c>
      <c r="AF74" s="1"/>
      <c r="AG74" s="5">
        <f>COUNTIF(AG2:AG73, "Matched")</f>
        <v>5</v>
      </c>
      <c r="AH74" s="1"/>
      <c r="AI74" s="5">
        <f>COUNTIF(AI2:AI73, "Matched")</f>
        <v>4</v>
      </c>
      <c r="AJ74" s="1"/>
      <c r="AK74" s="5">
        <f>COUNTIF(AK2:AK73, "Matched")</f>
        <v>3</v>
      </c>
      <c r="AL74" s="1"/>
      <c r="AM74" s="5">
        <f>COUNTIF(AM2:AM73, "Matched")</f>
        <v>5</v>
      </c>
      <c r="AN74" s="1"/>
      <c r="AO74" s="5">
        <f>COUNTIF(AO2:AO73, "Matched")</f>
        <v>5</v>
      </c>
      <c r="AP74" s="1"/>
      <c r="AQ74" s="5">
        <f>COUNTIF(AQ2:AQ73, "Matched")</f>
        <v>4</v>
      </c>
      <c r="AR74" s="1"/>
      <c r="AS74" s="5">
        <f>COUNTIF(AS2:AS73, "Matched")</f>
        <v>6</v>
      </c>
      <c r="AT74" s="1"/>
      <c r="AU74" s="5">
        <f>COUNTIF(AU2:AU73, "Matched")</f>
        <v>5</v>
      </c>
      <c r="AV74" s="1"/>
      <c r="AW74" s="5">
        <f>COUNTIF(AW2:AW73, "Matched")</f>
        <v>5</v>
      </c>
    </row>
    <row r="75" spans="3:49" x14ac:dyDescent="0.35">
      <c r="C75" s="1" t="s">
        <v>202</v>
      </c>
      <c r="D75" s="1" t="s">
        <v>203</v>
      </c>
      <c r="E75" s="13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L75" s="6"/>
      <c r="M75" s="1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</row>
    <row r="76" spans="3:49" x14ac:dyDescent="0.35">
      <c r="C76" s="1" t="s">
        <v>202</v>
      </c>
      <c r="D76" s="1" t="s">
        <v>206</v>
      </c>
      <c r="E76" s="13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L76" s="6"/>
      <c r="M76" s="1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</row>
    <row r="77" spans="3:49" x14ac:dyDescent="0.35">
      <c r="C77" s="1" t="s">
        <v>202</v>
      </c>
      <c r="D77" s="1" t="s">
        <v>209</v>
      </c>
      <c r="E77" s="13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L77" s="6"/>
      <c r="M77" s="1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</row>
    <row r="78" spans="3:49" x14ac:dyDescent="0.35">
      <c r="C78" s="1" t="s">
        <v>202</v>
      </c>
      <c r="D78" s="1" t="s">
        <v>212</v>
      </c>
      <c r="E78" s="13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L78" s="6"/>
      <c r="M78" s="1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</row>
    <row r="79" spans="3:49" x14ac:dyDescent="0.35">
      <c r="C79" s="1" t="s">
        <v>202</v>
      </c>
      <c r="D79" s="1" t="s">
        <v>215</v>
      </c>
      <c r="E79" s="13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L79" s="6"/>
      <c r="M79" s="1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</row>
    <row r="80" spans="3:49" x14ac:dyDescent="0.35">
      <c r="C80" s="1" t="s">
        <v>202</v>
      </c>
      <c r="D80" s="1" t="s">
        <v>218</v>
      </c>
      <c r="E80" s="13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L80" s="6"/>
      <c r="M80" s="1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</row>
    <row r="81" spans="3:49" x14ac:dyDescent="0.35">
      <c r="C81" s="1" t="s">
        <v>202</v>
      </c>
      <c r="D81" s="1" t="s">
        <v>221</v>
      </c>
      <c r="E81" s="13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L81" s="6"/>
      <c r="M81" s="1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</row>
    <row r="82" spans="3:49" x14ac:dyDescent="0.35">
      <c r="C82" s="1" t="s">
        <v>202</v>
      </c>
      <c r="D82" s="1" t="s">
        <v>224</v>
      </c>
      <c r="E82" s="13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L82" s="6"/>
      <c r="M82" s="1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</row>
    <row r="83" spans="3:49" x14ac:dyDescent="0.35">
      <c r="C83" s="1" t="s">
        <v>202</v>
      </c>
      <c r="D83" s="1" t="s">
        <v>227</v>
      </c>
      <c r="E83" s="13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L83" s="6"/>
      <c r="M83" s="1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</row>
    <row r="84" spans="3:49" x14ac:dyDescent="0.35">
      <c r="C84" s="1" t="s">
        <v>202</v>
      </c>
      <c r="D84" s="1" t="s">
        <v>230</v>
      </c>
      <c r="E84" s="13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L84" s="6"/>
      <c r="M84" s="1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</row>
    <row r="85" spans="3:49" x14ac:dyDescent="0.35">
      <c r="C85" s="1" t="s">
        <v>202</v>
      </c>
      <c r="D85" s="1" t="s">
        <v>233</v>
      </c>
      <c r="E85" s="13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L85" s="6"/>
      <c r="M85" s="1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</row>
    <row r="86" spans="3:49" x14ac:dyDescent="0.35">
      <c r="C86" s="1" t="s">
        <v>202</v>
      </c>
      <c r="D86" s="1" t="s">
        <v>236</v>
      </c>
      <c r="E86" s="13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L86" s="6"/>
      <c r="M86" s="1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</row>
    <row r="87" spans="3:49" x14ac:dyDescent="0.35">
      <c r="C87" s="1" t="s">
        <v>202</v>
      </c>
      <c r="D87" s="1" t="s">
        <v>239</v>
      </c>
      <c r="E87" s="13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L87" s="6"/>
      <c r="M87" s="1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</row>
    <row r="88" spans="3:49" x14ac:dyDescent="0.35">
      <c r="C88" s="1" t="s">
        <v>202</v>
      </c>
      <c r="D88" s="1" t="s">
        <v>241</v>
      </c>
      <c r="E88" s="13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L88" s="6"/>
      <c r="M88" s="1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</row>
    <row r="89" spans="3:49" x14ac:dyDescent="0.35">
      <c r="C89" s="1" t="s">
        <v>202</v>
      </c>
      <c r="D89" s="1" t="s">
        <v>244</v>
      </c>
      <c r="E89" s="13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L89" s="6"/>
      <c r="M89" s="1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</row>
    <row r="90" spans="3:49" x14ac:dyDescent="0.35">
      <c r="C90" s="1" t="s">
        <v>202</v>
      </c>
      <c r="D90" s="1" t="s">
        <v>247</v>
      </c>
      <c r="E90" s="13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L90" s="6"/>
      <c r="M90" s="1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</row>
    <row r="91" spans="3:49" x14ac:dyDescent="0.35">
      <c r="C91" s="1"/>
      <c r="D91" s="1"/>
      <c r="E91" s="13"/>
      <c r="F91" s="1"/>
      <c r="G91" s="1"/>
      <c r="H91" s="1"/>
      <c r="I91" s="1"/>
      <c r="J91" s="1"/>
      <c r="K91" s="1"/>
      <c r="L91" s="6"/>
      <c r="M91" s="1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</row>
    <row r="92" spans="3:49" x14ac:dyDescent="0.35">
      <c r="C92" s="1" t="s">
        <v>250</v>
      </c>
      <c r="D92" s="1" t="s">
        <v>251</v>
      </c>
      <c r="E92" s="13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L92" s="6"/>
      <c r="M92" s="1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</row>
    <row r="93" spans="3:49" x14ac:dyDescent="0.35">
      <c r="C93" s="1" t="s">
        <v>250</v>
      </c>
      <c r="D93" s="1" t="s">
        <v>254</v>
      </c>
      <c r="E93" s="13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L93" s="6"/>
      <c r="M93" s="1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</row>
    <row r="94" spans="3:49" x14ac:dyDescent="0.35">
      <c r="C94" s="1" t="s">
        <v>250</v>
      </c>
      <c r="D94" s="1" t="s">
        <v>257</v>
      </c>
      <c r="E94" s="13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L94" s="6"/>
      <c r="M94" s="1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</row>
    <row r="95" spans="3:49" x14ac:dyDescent="0.35">
      <c r="C95" s="1" t="s">
        <v>250</v>
      </c>
      <c r="D95" s="1" t="s">
        <v>260</v>
      </c>
      <c r="E95" s="13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L95" s="6"/>
      <c r="M95" s="1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</row>
    <row r="96" spans="3:49" x14ac:dyDescent="0.35">
      <c r="C96" s="1" t="s">
        <v>250</v>
      </c>
      <c r="D96" s="1" t="s">
        <v>263</v>
      </c>
      <c r="E96" s="13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L96" s="6"/>
      <c r="M96" s="1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</row>
    <row r="97" spans="3:49" x14ac:dyDescent="0.35">
      <c r="C97" s="1" t="s">
        <v>250</v>
      </c>
      <c r="D97" s="1" t="s">
        <v>266</v>
      </c>
      <c r="E97" s="13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L97" s="6"/>
      <c r="M97" s="1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</row>
    <row r="98" spans="3:49" x14ac:dyDescent="0.35">
      <c r="C98" s="1" t="s">
        <v>250</v>
      </c>
      <c r="D98" s="1" t="s">
        <v>269</v>
      </c>
      <c r="E98" s="13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L98" s="6"/>
      <c r="M98" s="1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</row>
    <row r="99" spans="3:49" x14ac:dyDescent="0.35">
      <c r="C99" s="1" t="s">
        <v>250</v>
      </c>
      <c r="D99" s="1" t="s">
        <v>272</v>
      </c>
      <c r="E99" s="13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L99" s="6"/>
      <c r="M99" s="1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</row>
    <row r="100" spans="3:49" x14ac:dyDescent="0.35">
      <c r="C100" s="1"/>
      <c r="D100" s="1"/>
      <c r="E100" s="13"/>
      <c r="F100" s="1"/>
      <c r="G100" s="1"/>
      <c r="H100" s="1"/>
      <c r="I100" s="1"/>
      <c r="J100" s="1"/>
      <c r="K100" s="1"/>
      <c r="L100" s="6"/>
      <c r="M100" s="1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</row>
    <row r="101" spans="3:49" x14ac:dyDescent="0.35">
      <c r="C101" s="1" t="s">
        <v>275</v>
      </c>
      <c r="D101" s="1" t="s">
        <v>276</v>
      </c>
      <c r="E101" s="13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L101" s="6"/>
      <c r="M101" s="1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</row>
    <row r="102" spans="3:49" x14ac:dyDescent="0.35">
      <c r="C102" s="1" t="s">
        <v>275</v>
      </c>
      <c r="D102" s="1" t="s">
        <v>279</v>
      </c>
      <c r="E102" s="13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L102" s="6"/>
      <c r="M102" s="1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</row>
    <row r="103" spans="3:49" x14ac:dyDescent="0.35">
      <c r="C103" s="1" t="s">
        <v>275</v>
      </c>
      <c r="D103" s="1" t="s">
        <v>282</v>
      </c>
      <c r="E103" s="13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L103" s="6"/>
      <c r="M103" s="1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</row>
    <row r="104" spans="3:49" x14ac:dyDescent="0.35">
      <c r="C104" s="1" t="s">
        <v>275</v>
      </c>
      <c r="D104" s="1" t="s">
        <v>285</v>
      </c>
      <c r="E104" s="13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L104" s="6"/>
      <c r="M104" s="1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</row>
    <row r="105" spans="3:49" x14ac:dyDescent="0.35">
      <c r="C105" s="1" t="s">
        <v>288</v>
      </c>
      <c r="D105" s="1" t="s">
        <v>289</v>
      </c>
      <c r="E105" s="13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L105" s="6"/>
      <c r="M105" s="1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</row>
    <row r="106" spans="3:49" x14ac:dyDescent="0.35">
      <c r="C106" s="1" t="s">
        <v>288</v>
      </c>
      <c r="D106" s="1" t="s">
        <v>292</v>
      </c>
      <c r="E106" s="13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L106" s="6"/>
      <c r="M106" s="1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</row>
    <row r="107" spans="3:49" x14ac:dyDescent="0.35">
      <c r="C107" s="1" t="s">
        <v>295</v>
      </c>
      <c r="D107" s="1" t="s">
        <v>296</v>
      </c>
      <c r="E107" s="13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L107" s="6"/>
      <c r="M107" s="1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</row>
    <row r="108" spans="3:49" x14ac:dyDescent="0.35">
      <c r="C108" s="1" t="s">
        <v>299</v>
      </c>
      <c r="D108" s="1" t="s">
        <v>300</v>
      </c>
      <c r="E108" s="13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L108" s="6"/>
      <c r="M108" s="1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ba3587f9-4050-4fd4-83f5-ccf6ce55d17a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89BE2C-0FFF-4390-9E78-D618C70A35A4}">
  <ds:schemaRefs>
    <ds:schemaRef ds:uri="http://purl.org/dc/dcmitype/"/>
    <ds:schemaRef ds:uri="http://schemas.microsoft.com/office/2006/metadata/properties"/>
    <ds:schemaRef ds:uri="37513636-cd07-4f62-aa39-05d899fa6391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dc74d1ae-670c-41ed-9896-4cba0109067e"/>
    <ds:schemaRef ds:uri="http://schemas.microsoft.com/sharepoint/v3"/>
    <ds:schemaRef ds:uri="http://schemas.microsoft.com/sharepoint/v3/fields"/>
    <ds:schemaRef ds:uri="721dfc99-fedf-49dc-96e4-8b6946f0e489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2026-06-15T09:22:40Z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