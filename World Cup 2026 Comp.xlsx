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03" documentId="8_{C42A4063-8679-421F-B2A4-8DD3F65A1D1D}" xr6:coauthVersionLast="47" xr6:coauthVersionMax="47" xr10:uidLastSave="{00E442BE-7222-4DEA-B6B4-CC2E16918F1E}"/>
  <bookViews>
    <workbookView xWindow="-193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<sst xmlns="http://schemas.openxmlformats.org/spreadsheetml/2006/main" count="2100" uniqueCount="326">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</sst>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AE18" activePane="bottomRight" state="frozen"/>
      <selection pane="bottomRight" activeCell="AE27" sqref="AE27"/>
      <selection pane="bottomLeft" activeCell="A2" sqref="A2"/>
      <selection pane="topRight" activeCell="L1" sqref="L1"/>
    </sheetView>
  </sheetViews>
  <sheetFormatPr defaultColWidth="6.5703125" defaultRowHeight="1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71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5" t="s">
        <v>71</v>
      </c>
      <c r="AU30" s="6" t="str">
        <f t="shared" si="17"/>
        <v>TBP</v>
      </c>
      <c r="AV30" s="16" t="s">
        <v>71</v>
      </c>
      <c r="AW30" s="6" t="str">
        <f t="shared" si="18"/>
        <v>TBP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5" t="s">
        <v>83</v>
      </c>
      <c r="AU31" s="6" t="str">
        <f t="shared" si="17"/>
        <v>TBP</v>
      </c>
      <c r="AV31" s="16" t="s">
        <v>83</v>
      </c>
      <c r="AW31" s="6" t="str">
        <f t="shared" si="18"/>
        <v>TBP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5" t="s">
        <v>79</v>
      </c>
      <c r="AU32" s="6" t="str">
        <f t="shared" si="17"/>
        <v>TBP</v>
      </c>
      <c r="AV32" s="16" t="s">
        <v>79</v>
      </c>
      <c r="AW32" s="6" t="str">
        <f t="shared" si="18"/>
        <v>TBP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1" t="s">
        <v>93</v>
      </c>
      <c r="O33" s="1" t="str">
        <f t="shared" si="1"/>
        <v>TBP</v>
      </c>
      <c r="P33" s="17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8" t="s">
        <v>93</v>
      </c>
      <c r="AC33" s="6" t="str">
        <f t="shared" si="8"/>
        <v>TBP</v>
      </c>
      <c r="AD33" s="18" t="s">
        <v>93</v>
      </c>
      <c r="AE33" s="6" t="str">
        <f t="shared" si="9"/>
        <v>TBP</v>
      </c>
      <c r="AF33" s="18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5" t="s">
        <v>93</v>
      </c>
      <c r="AU33" s="6" t="str">
        <f t="shared" si="17"/>
        <v>TBP</v>
      </c>
      <c r="AV33" s="16" t="s">
        <v>93</v>
      </c>
      <c r="AW33" s="6" t="str">
        <f t="shared" si="18"/>
        <v>TBP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5" t="s">
        <v>89</v>
      </c>
      <c r="AU34" s="6" t="str">
        <f t="shared" si="17"/>
        <v>TBP</v>
      </c>
      <c r="AV34" s="16" t="s">
        <v>89</v>
      </c>
      <c r="AW34" s="6" t="str">
        <f t="shared" si="18"/>
        <v>TBP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5" t="s">
        <v>99</v>
      </c>
      <c r="AU35" s="6" t="str">
        <f t="shared" si="17"/>
        <v>TBP</v>
      </c>
      <c r="AV35" s="16" t="s">
        <v>99</v>
      </c>
      <c r="AW35" s="6" t="str">
        <f t="shared" si="18"/>
        <v>TBP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8" t="s">
        <v>109</v>
      </c>
      <c r="AC36" s="6" t="str">
        <f t="shared" si="8"/>
        <v>TBP</v>
      </c>
      <c r="AD36" s="18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TBP</v>
      </c>
      <c r="AV36" s="16" t="s">
        <v>109</v>
      </c>
      <c r="AW36" s="6" t="str">
        <f t="shared" si="18"/>
        <v>TBP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5" t="s">
        <v>104</v>
      </c>
      <c r="AU37" s="6" t="str">
        <f t="shared" si="17"/>
        <v>TBP</v>
      </c>
      <c r="AV37" s="16" t="s">
        <v>104</v>
      </c>
      <c r="AW37" s="6" t="str">
        <f t="shared" si="18"/>
        <v>TBP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5" t="s">
        <v>54</v>
      </c>
      <c r="AU38" s="6" t="str">
        <f t="shared" si="17"/>
        <v>TBP</v>
      </c>
      <c r="AV38" s="16" t="s">
        <v>54</v>
      </c>
      <c r="AW38" s="6" t="str">
        <f t="shared" si="18"/>
        <v>TBP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TBP</v>
      </c>
      <c r="AV39" s="16" t="s">
        <v>96</v>
      </c>
      <c r="AW39" s="6" t="str">
        <f t="shared" si="18"/>
        <v>TBP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TBP</v>
      </c>
      <c r="AV40" s="16" t="s">
        <v>127</v>
      </c>
      <c r="AW40" s="6" t="str">
        <f t="shared" si="18"/>
        <v>TBP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5" t="s">
        <v>123</v>
      </c>
      <c r="AU41" s="6" t="str">
        <f t="shared" si="17"/>
        <v>TBP</v>
      </c>
      <c r="AV41" s="16" t="s">
        <v>131</v>
      </c>
      <c r="AW41" s="6" t="str">
        <f t="shared" si="18"/>
        <v>TBP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5" t="s">
        <v>48</v>
      </c>
      <c r="AU42" s="6" t="str">
        <f t="shared" si="17"/>
        <v>TBP</v>
      </c>
      <c r="AV42" s="16" t="s">
        <v>48</v>
      </c>
      <c r="AW42" s="6" t="str">
        <f t="shared" si="18"/>
        <v>TBP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5" t="s">
        <v>60</v>
      </c>
      <c r="AU43" s="6" t="str">
        <f t="shared" si="17"/>
        <v>TBP</v>
      </c>
      <c r="AV43" s="16" t="s">
        <v>60</v>
      </c>
      <c r="AW43" s="6" t="str">
        <f t="shared" si="18"/>
        <v>TBP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5" t="s">
        <v>120</v>
      </c>
      <c r="AU44" s="6" t="str">
        <f t="shared" si="17"/>
        <v>TBP</v>
      </c>
      <c r="AV44" s="16" t="s">
        <v>120</v>
      </c>
      <c r="AW44" s="6" t="str">
        <f t="shared" si="18"/>
        <v>TBP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5" t="s">
        <v>139</v>
      </c>
      <c r="AU45" s="6" t="str">
        <f t="shared" si="17"/>
        <v>TBP</v>
      </c>
      <c r="AV45" s="16" t="s">
        <v>139</v>
      </c>
      <c r="AW45" s="6" t="str">
        <f t="shared" si="18"/>
        <v>TBP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5" t="s">
        <v>74</v>
      </c>
      <c r="AU46" s="6" t="str">
        <f t="shared" si="17"/>
        <v>TBP</v>
      </c>
      <c r="AV46" s="16" t="s">
        <v>74</v>
      </c>
      <c r="AW46" s="6" t="str">
        <f t="shared" si="18"/>
        <v>TBP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11</v>
      </c>
      <c r="N74" s="1"/>
      <c r="O74" s="5">
        <f>COUNTIF(O2:O73, "Matched")</f>
        <v>14</v>
      </c>
      <c r="P74" s="1"/>
      <c r="Q74" s="5">
        <f>COUNTIF(Q2:Q73, "Matched")</f>
        <v>15</v>
      </c>
      <c r="R74" s="1"/>
      <c r="S74" s="5">
        <f>COUNTIF(S2:S73, "Matched")</f>
        <v>15</v>
      </c>
      <c r="T74" s="1"/>
      <c r="U74" s="5">
        <f>COUNTIF(U2:U73, "Matched")</f>
        <v>12</v>
      </c>
      <c r="V74" s="1"/>
      <c r="W74" s="5">
        <f>COUNTIF(W2:W73, "Matched")</f>
        <v>16</v>
      </c>
      <c r="X74" s="1"/>
      <c r="Y74" s="5">
        <f>COUNTIF(Y2:Y73, "Matched")</f>
        <v>15</v>
      </c>
      <c r="Z74" s="1"/>
      <c r="AA74" s="5">
        <f>COUNTIF(AA2:AA73, "Matched")</f>
        <v>14</v>
      </c>
      <c r="AB74" s="1"/>
      <c r="AC74" s="5">
        <f>COUNTIF(AC2:AC73, "Matched")</f>
        <v>16</v>
      </c>
      <c r="AD74" s="1"/>
      <c r="AE74" s="5">
        <f>COUNTIF(AE2:AE73, "Matched")</f>
        <v>15</v>
      </c>
      <c r="AF74" s="1"/>
      <c r="AG74" s="5">
        <f>COUNTIF(AG2:AG73, "Matched")</f>
        <v>16</v>
      </c>
      <c r="AH74" s="1"/>
      <c r="AI74" s="5">
        <f>COUNTIF(AI2:AI73, "Matched")</f>
        <v>15</v>
      </c>
      <c r="AJ74" s="1"/>
      <c r="AK74" s="5">
        <f>COUNTIF(AK2:AK73, "Matched")</f>
        <v>11</v>
      </c>
      <c r="AL74" s="1"/>
      <c r="AM74" s="5">
        <f>COUNTIF(AM2:AM73, "Matched")</f>
        <v>16</v>
      </c>
      <c r="AN74" s="1"/>
      <c r="AO74" s="5">
        <f>COUNTIF(AO2:AO73, "Matched")</f>
        <v>15</v>
      </c>
      <c r="AP74" s="1"/>
      <c r="AQ74" s="5">
        <f>COUNTIF(AQ2:AQ73, "Matched")</f>
        <v>13</v>
      </c>
      <c r="AR74" s="1"/>
      <c r="AS74" s="5">
        <f>COUNTIF(AS2:AS73, "Matched")</f>
        <v>17</v>
      </c>
      <c r="AT74" s="1"/>
      <c r="AU74" s="5">
        <f>COUNTIF(AU2:AU73, "Matched")</f>
        <v>16</v>
      </c>
      <c r="AV74" s="1"/>
      <c r="AW74" s="5">
        <f>COUNTIF(AW2:AW73, "Matched")</f>
        <v>15</v>
      </c>
    </row>
    <row r="75" spans="3:49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>
      <c r="A20" s="7" t="s">
        <v>321</v>
      </c>
      <c r="B20" s="7" t="s">
        <v>307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325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007291BB-E7C1-41E6-B4E1-AA5FDDFADFBD}"/>
</file>

<file path=customXml/itemProps2.xml><?xml version="1.0" encoding="utf-8"?>
<ds:datastoreItem xmlns:ds="http://schemas.openxmlformats.org/officeDocument/2006/customXml" ds:itemID="{F989BE2C-0FFF-4390-9E78-D618C70A35A4}"/>
</file>

<file path=customXml/itemProps3.xml><?xml version="1.0" encoding="utf-8"?>
<ds:datastoreItem xmlns:ds="http://schemas.openxmlformats.org/officeDocument/2006/customXml" ds:itemID="{3B8E7FBF-934E-4B2F-82FD-1F264DBE7A89}"/>
</file>

<file path=customXml/itemProps4.xml><?xml version="1.0" encoding="utf-8"?>
<ds:datastoreItem xmlns:ds="http://schemas.openxmlformats.org/officeDocument/2006/customXml" ds:itemID="{66CB48C8-A719-4216-A79E-FCEC641C15C6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Shane Du Plooy</cp:lastModifiedBy>
  <cp:revision/>
  <dcterms:created xsi:type="dcterms:W3CDTF">2026-05-25T21:45:08Z</dcterms:created>
  <dcterms:modified xsi:type="dcterms:W3CDTF">2026-06-19T03:30:10Z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