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943" documentId="8_{C42A4063-8679-421F-B2A4-8DD3F65A1D1D}" xr6:coauthVersionLast="47" xr6:coauthVersionMax="47" xr10:uidLastSave="{792274EC-9E08-4F8B-A730-8AC3495F842B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<sst xmlns="http://schemas.openxmlformats.org/spreadsheetml/2006/main" count="2128" uniqueCount="326">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</sst>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A15" sqref="A15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 ht="26.25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4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5" t="s">
        <v>71</v>
      </c>
      <c r="AU30" s="6" t="str">
        <f t="shared" si="17"/>
        <v>Matched</v>
      </c>
      <c r="AV30" s="16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4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5" t="s">
        <v>83</v>
      </c>
      <c r="AU31" s="6" t="str">
        <f t="shared" si="17"/>
        <v>Matched</v>
      </c>
      <c r="AV31" s="16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4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5" t="s">
        <v>79</v>
      </c>
      <c r="AU32" s="6" t="str">
        <f t="shared" si="17"/>
        <v>Matched</v>
      </c>
      <c r="AV32" s="16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7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8" t="s">
        <v>93</v>
      </c>
      <c r="AC33" s="6" t="str">
        <f t="shared" si="8"/>
        <v>No Match</v>
      </c>
      <c r="AD33" s="18" t="s">
        <v>93</v>
      </c>
      <c r="AE33" s="6" t="str">
        <f t="shared" si="9"/>
        <v>No Match</v>
      </c>
      <c r="AF33" s="18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4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9" t="s">
        <v>93</v>
      </c>
      <c r="AS33" s="6" t="str">
        <f t="shared" si="16"/>
        <v>No Match</v>
      </c>
      <c r="AT33" s="15" t="s">
        <v>93</v>
      </c>
      <c r="AU33" s="6" t="str">
        <f t="shared" si="17"/>
        <v>No Match</v>
      </c>
      <c r="AV33" s="16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4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5" t="s">
        <v>89</v>
      </c>
      <c r="AU34" s="6" t="str">
        <f t="shared" si="17"/>
        <v>Matched</v>
      </c>
      <c r="AV34" s="16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4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5" t="s">
        <v>99</v>
      </c>
      <c r="AU35" s="6" t="str">
        <f t="shared" si="17"/>
        <v>Matched</v>
      </c>
      <c r="AV35" s="16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8" t="s">
        <v>109</v>
      </c>
      <c r="AC36" s="6" t="str">
        <f t="shared" si="8"/>
        <v>No Match</v>
      </c>
      <c r="AD36" s="18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4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No Match</v>
      </c>
      <c r="AV36" s="16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4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5" t="s">
        <v>104</v>
      </c>
      <c r="AU37" s="6" t="str">
        <f t="shared" si="17"/>
        <v>Matched</v>
      </c>
      <c r="AV37" s="16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4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5" t="s">
        <v>54</v>
      </c>
      <c r="AU38" s="6" t="str">
        <f t="shared" si="17"/>
        <v>Matched</v>
      </c>
      <c r="AV38" s="16" t="s">
        <v>54</v>
      </c>
      <c r="AW38" s="6" t="str">
        <f t="shared" si="18"/>
        <v>Matched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6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4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No Match</v>
      </c>
      <c r="AV39" s="16" t="s">
        <v>96</v>
      </c>
      <c r="AW39" s="6" t="str">
        <f t="shared" si="18"/>
        <v>No Match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6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4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No Match</v>
      </c>
      <c r="AV40" s="16" t="s">
        <v>127</v>
      </c>
      <c r="AW40" s="6" t="str">
        <f t="shared" si="18"/>
        <v>No Match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6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4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5" t="s">
        <v>123</v>
      </c>
      <c r="AU41" s="6" t="str">
        <f t="shared" si="17"/>
        <v>Matched</v>
      </c>
      <c r="AV41" s="16" t="s">
        <v>131</v>
      </c>
      <c r="AW41" s="6" t="str">
        <f t="shared" si="18"/>
        <v>No Match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6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4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5" t="s">
        <v>48</v>
      </c>
      <c r="AU42" s="6" t="str">
        <f t="shared" si="17"/>
        <v>Matched</v>
      </c>
      <c r="AV42" s="16" t="s">
        <v>48</v>
      </c>
      <c r="AW42" s="6" t="str">
        <f t="shared" si="18"/>
        <v>Matched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5" t="s">
        <v>60</v>
      </c>
      <c r="AU43" s="6" t="str">
        <f t="shared" si="17"/>
        <v>TBP</v>
      </c>
      <c r="AV43" s="16" t="s">
        <v>60</v>
      </c>
      <c r="AW43" s="6" t="str">
        <f t="shared" si="18"/>
        <v>TBP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136</v>
      </c>
      <c r="AS44" s="6" t="str">
        <f t="shared" si="16"/>
        <v>No Match</v>
      </c>
      <c r="AT44" s="15" t="s">
        <v>120</v>
      </c>
      <c r="AU44" s="6" t="str">
        <f t="shared" si="17"/>
        <v>TBP</v>
      </c>
      <c r="AV44" s="16" t="s">
        <v>120</v>
      </c>
      <c r="AW44" s="6" t="str">
        <f t="shared" si="18"/>
        <v>TBP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1" t="s">
        <v>139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5" t="s">
        <v>139</v>
      </c>
      <c r="AU45" s="6" t="str">
        <f t="shared" si="17"/>
        <v>TBP</v>
      </c>
      <c r="AV45" s="16" t="s">
        <v>139</v>
      </c>
      <c r="AW45" s="6" t="str">
        <f t="shared" si="18"/>
        <v>TBP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F46" s="19" t="s">
        <v>74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5" t="s">
        <v>74</v>
      </c>
      <c r="AU46" s="6" t="str">
        <f t="shared" si="17"/>
        <v>TBP</v>
      </c>
      <c r="AV46" s="16" t="s">
        <v>74</v>
      </c>
      <c r="AW46" s="6" t="str">
        <f t="shared" si="18"/>
        <v>TBP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F47" s="19" t="s">
        <v>67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TBP</v>
      </c>
      <c r="AV47" s="16" t="s">
        <v>67</v>
      </c>
      <c r="AW47" s="6" t="str">
        <f t="shared" si="18"/>
        <v>TBP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F48" s="19" t="s">
        <v>106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5" t="s">
        <v>106</v>
      </c>
      <c r="AU48" s="6" t="str">
        <f t="shared" si="17"/>
        <v>TBP</v>
      </c>
      <c r="AV48" s="16" t="s">
        <v>106</v>
      </c>
      <c r="AW48" s="6" t="str">
        <f t="shared" si="18"/>
        <v>TBP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F49" s="19" t="s">
        <v>111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5" t="s">
        <v>111</v>
      </c>
      <c r="AU49" s="6" t="str">
        <f t="shared" si="17"/>
        <v>TBP</v>
      </c>
      <c r="AV49" s="16" t="s">
        <v>111</v>
      </c>
      <c r="AW49" s="6" t="str">
        <f t="shared" si="18"/>
        <v>TBP</v>
      </c>
    </row>
    <row r="50" spans="1:49" x14ac:dyDescent="0.2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" t="s">
        <v>64</v>
      </c>
      <c r="W50" s="6" t="str">
        <f t="shared" si="5"/>
        <v>TBP</v>
      </c>
      <c r="X50" s="1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F50" s="19" t="s">
        <v>77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5" t="s">
        <v>77</v>
      </c>
      <c r="AU50" s="6" t="str">
        <f t="shared" si="17"/>
        <v>TBP</v>
      </c>
      <c r="AV50" s="16" t="s">
        <v>77</v>
      </c>
      <c r="AW50" s="6" t="str">
        <f t="shared" si="18"/>
        <v>TBP</v>
      </c>
    </row>
    <row r="51" spans="1:49" ht="30" x14ac:dyDescent="0.2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F51" s="19" t="s">
        <v>76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5" t="s">
        <v>65</v>
      </c>
      <c r="AU51" s="6" t="str">
        <f t="shared" si="17"/>
        <v>TBP</v>
      </c>
      <c r="AV51" s="16" t="s">
        <v>76</v>
      </c>
      <c r="AW51" s="6" t="str">
        <f t="shared" si="18"/>
        <v>TBP</v>
      </c>
    </row>
    <row r="52" spans="1:49" x14ac:dyDescent="0.2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F52" s="19" t="s">
        <v>79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5" t="s">
        <v>79</v>
      </c>
      <c r="AU52" s="6" t="str">
        <f t="shared" si="17"/>
        <v>TBP</v>
      </c>
      <c r="AV52" s="16" t="s">
        <v>79</v>
      </c>
      <c r="AW52" s="6" t="str">
        <f t="shared" si="18"/>
        <v>TBP</v>
      </c>
    </row>
    <row r="53" spans="1:49" x14ac:dyDescent="0.2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F53" s="19" t="s">
        <v>83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5" t="s">
        <v>83</v>
      </c>
      <c r="AU53" s="6" t="str">
        <f t="shared" si="17"/>
        <v>TBP</v>
      </c>
      <c r="AV53" s="16" t="s">
        <v>83</v>
      </c>
      <c r="AW53" s="6" t="str">
        <f t="shared" si="18"/>
        <v>TBP</v>
      </c>
    </row>
    <row r="54" spans="1:49" x14ac:dyDescent="0.2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F54" s="19" t="s">
        <v>51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5" t="s">
        <v>51</v>
      </c>
      <c r="AU54" s="6" t="str">
        <f t="shared" si="17"/>
        <v>TBP</v>
      </c>
      <c r="AV54" s="16" t="s">
        <v>51</v>
      </c>
      <c r="AW54" s="6" t="str">
        <f t="shared" si="18"/>
        <v>TBP</v>
      </c>
    </row>
    <row r="55" spans="1:49" x14ac:dyDescent="0.2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8" t="s">
        <v>52</v>
      </c>
      <c r="AC55" s="6" t="str">
        <f t="shared" si="8"/>
        <v>TBP</v>
      </c>
      <c r="AD55" s="18" t="s">
        <v>52</v>
      </c>
      <c r="AE55" s="6" t="str">
        <f t="shared" si="9"/>
        <v>TBP</v>
      </c>
      <c r="AF55" s="19" t="s">
        <v>56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TBP</v>
      </c>
      <c r="AV55" s="16" t="s">
        <v>56</v>
      </c>
      <c r="AW55" s="6" t="str">
        <f t="shared" si="18"/>
        <v>TBP</v>
      </c>
    </row>
    <row r="56" spans="1:49" x14ac:dyDescent="0.2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F56" s="19" t="s">
        <v>108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5" t="s">
        <v>108</v>
      </c>
      <c r="AU56" s="6" t="str">
        <f t="shared" si="17"/>
        <v>TBP</v>
      </c>
      <c r="AV56" s="16" t="s">
        <v>108</v>
      </c>
      <c r="AW56" s="6" t="str">
        <f t="shared" si="18"/>
        <v>TBP</v>
      </c>
    </row>
    <row r="57" spans="1:49" x14ac:dyDescent="0.2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F57" s="19" t="s">
        <v>99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TBP</v>
      </c>
      <c r="AV57" s="16" t="s">
        <v>99</v>
      </c>
      <c r="AW57" s="6" t="str">
        <f t="shared" si="18"/>
        <v>TBP</v>
      </c>
    </row>
    <row r="58" spans="1:49" x14ac:dyDescent="0.2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F58" s="19" t="s">
        <v>104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F59" s="19" t="s">
        <v>89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 x14ac:dyDescent="0.2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 x14ac:dyDescent="0.2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19</v>
      </c>
      <c r="N74" s="1"/>
      <c r="O74" s="5">
        <f>COUNTIF(O2:O73, "Matched")</f>
        <v>21</v>
      </c>
      <c r="P74" s="1"/>
      <c r="Q74" s="5">
        <f>COUNTIF(Q2:Q73, "Matched")</f>
        <v>24</v>
      </c>
      <c r="R74" s="1"/>
      <c r="S74" s="5">
        <f>COUNTIF(S2:S73, "Matched")</f>
        <v>23</v>
      </c>
      <c r="T74" s="1"/>
      <c r="U74" s="5">
        <f>COUNTIF(U2:U73, "Matched")</f>
        <v>21</v>
      </c>
      <c r="V74" s="1"/>
      <c r="W74" s="5">
        <f>COUNTIF(W2:W73, "Matched")</f>
        <v>25</v>
      </c>
      <c r="X74" s="1"/>
      <c r="Y74" s="5">
        <f>COUNTIF(Y2:Y73, "Matched")</f>
        <v>23</v>
      </c>
      <c r="Z74" s="1"/>
      <c r="AA74" s="5">
        <f>COUNTIF(AA2:AA73, "Matched")</f>
        <v>20</v>
      </c>
      <c r="AB74" s="1"/>
      <c r="AC74" s="5">
        <f>COUNTIF(AC2:AC73, "Matched")</f>
        <v>23</v>
      </c>
      <c r="AD74" s="1"/>
      <c r="AE74" s="5">
        <f>COUNTIF(AE2:AE73, "Matched")</f>
        <v>23</v>
      </c>
      <c r="AF74" s="1"/>
      <c r="AG74" s="5">
        <f>COUNTIF(AG2:AG73, "Matched")</f>
        <v>24</v>
      </c>
      <c r="AH74" s="1"/>
      <c r="AI74" s="5">
        <f>COUNTIF(AI2:AI73, "Matched")</f>
        <v>21</v>
      </c>
      <c r="AJ74" s="1"/>
      <c r="AK74" s="5">
        <f>COUNTIF(AK2:AK73, "Matched")</f>
        <v>21</v>
      </c>
      <c r="AL74" s="1"/>
      <c r="AM74" s="5">
        <f>COUNTIF(AM2:AM73, "Matched")</f>
        <v>25</v>
      </c>
      <c r="AN74" s="1"/>
      <c r="AO74" s="5">
        <f>COUNTIF(AO2:AO73, "Matched")</f>
        <v>24</v>
      </c>
      <c r="AP74" s="1"/>
      <c r="AQ74" s="5">
        <f>COUNTIF(AQ2:AQ73, "Matched")</f>
        <v>20</v>
      </c>
      <c r="AR74" s="1"/>
      <c r="AS74" s="5">
        <f>COUNTIF(AS2:AS73, "Matched")</f>
        <v>26</v>
      </c>
      <c r="AT74" s="1"/>
      <c r="AU74" s="5">
        <f>COUNTIF(AU2:AU73, "Matched")</f>
        <v>25</v>
      </c>
      <c r="AV74" s="1"/>
      <c r="AW74" s="5">
        <f>COUNTIF(AW2:AW73, "Matched")</f>
        <v>23</v>
      </c>
    </row>
    <row r="75" spans="3:49" x14ac:dyDescent="0.2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2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2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2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2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2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2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2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2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2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2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2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25">
      <c r="A13" s="7" t="s">
        <v>322</v>
      </c>
      <c r="B13" s="7" t="s">
        <v>307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2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2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2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2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2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2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2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325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ba3587f9-4050-4fd4-83f5-ccf6ce55d17a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Props1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989BE2C-0FFF-4390-9E78-D618C70A35A4}">
  <ds:schemaRefs>
    <ds:schemaRef ds:uri="http://www.w3.org/XML/1998/namespace"/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microsoft.com/sharepoint/v3/fields"/>
    <ds:schemaRef ds:uri="721dfc99-fedf-49dc-96e4-8b6946f0e489"/>
    <ds:schemaRef ds:uri="http://schemas.microsoft.com/sharepoint/v3"/>
    <ds:schemaRef ds:uri="37513636-cd07-4f62-aa39-05d899fa6391"/>
    <ds:schemaRef ds:uri="dc74d1ae-670c-41ed-9896-4cba0109067e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2026-06-22T20:36:53Z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